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D:\working\waccache\BN3PEPF0000CBB8\EXCELCNV\430b8b52-90d4-40d7-a758-0c9d6d5d38c3\"/>
    </mc:Choice>
  </mc:AlternateContent>
  <xr:revisionPtr revIDLastSave="0" documentId="8_{830F6038-EB86-4F0B-9515-7E00CE6A82A7}" xr6:coauthVersionLast="47" xr6:coauthVersionMax="47" xr10:uidLastSave="{00000000-0000-0000-0000-000000000000}"/>
  <bookViews>
    <workbookView xWindow="-60" yWindow="-60" windowWidth="15480" windowHeight="11640" firstSheet="1" activeTab="1" xr2:uid="{678591EB-58B3-40DB-BBB7-6BEC26EC2562}"/>
  </bookViews>
  <sheets>
    <sheet name="Costos Insumos" sheetId="5" r:id="rId1"/>
    <sheet name="Mármol Sintético" sheetId="2" r:id="rId2"/>
    <sheet name="Fibra de vidrio Faldones" sheetId="3" r:id="rId3"/>
    <sheet name="Fibra de vidrio bañeras Indoor" sheetId="4" r:id="rId4"/>
  </sheets>
  <definedNames>
    <definedName name="_xlnm._FilterDatabase" localSheetId="1" hidden="1">'Mármol Sintético'!$A$1:$S$29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2" l="1"/>
  <c r="K28" i="2"/>
  <c r="F27" i="2"/>
  <c r="O27" i="2"/>
  <c r="Q27" i="2"/>
  <c r="D27" i="2"/>
  <c r="I17" i="2"/>
  <c r="H17" i="2"/>
  <c r="E17" i="2"/>
  <c r="K16" i="2"/>
  <c r="E24" i="2"/>
  <c r="D11" i="2"/>
  <c r="D21" i="4"/>
  <c r="S21" i="4"/>
  <c r="N21" i="4"/>
  <c r="M21" i="4"/>
  <c r="K21" i="4"/>
  <c r="L21" i="4" s="1"/>
  <c r="I21" i="4"/>
  <c r="J21" i="4" s="1"/>
  <c r="F21" i="4"/>
  <c r="C21" i="4"/>
  <c r="E21" i="4" s="1"/>
  <c r="B18" i="3"/>
  <c r="F18" i="3"/>
  <c r="G20" i="4"/>
  <c r="D20" i="4"/>
  <c r="C18" i="4"/>
  <c r="F20" i="4"/>
  <c r="F19" i="4"/>
  <c r="S20" i="4"/>
  <c r="N20" i="4"/>
  <c r="M20" i="4"/>
  <c r="K20" i="4"/>
  <c r="L20" i="4" s="1"/>
  <c r="I20" i="4"/>
  <c r="J20" i="4" s="1"/>
  <c r="H20" i="4"/>
  <c r="K19" i="4"/>
  <c r="I18" i="4"/>
  <c r="H18" i="4"/>
  <c r="G18" i="4"/>
  <c r="G19" i="4"/>
  <c r="F18" i="4"/>
  <c r="H13" i="4"/>
  <c r="H14" i="4"/>
  <c r="G13" i="4"/>
  <c r="G14" i="4"/>
  <c r="E13" i="4"/>
  <c r="E14" i="4"/>
  <c r="E15" i="4"/>
  <c r="D18" i="4"/>
  <c r="C20" i="4"/>
  <c r="E20" i="4" s="1"/>
  <c r="B18" i="4"/>
  <c r="J17" i="4"/>
  <c r="J16" i="4"/>
  <c r="J15" i="4"/>
  <c r="H17" i="4"/>
  <c r="G17" i="4"/>
  <c r="E17" i="4"/>
  <c r="E18" i="4" s="1"/>
  <c r="E16" i="4"/>
  <c r="C19" i="4"/>
  <c r="E19" i="4" s="1"/>
  <c r="D22" i="2"/>
  <c r="E22" i="2"/>
  <c r="H22" i="2"/>
  <c r="I22" i="2"/>
  <c r="J22" i="2"/>
  <c r="L22" i="2"/>
  <c r="G21" i="2"/>
  <c r="D21" i="2"/>
  <c r="K20" i="2"/>
  <c r="K22" i="2" s="1"/>
  <c r="K24" i="2"/>
  <c r="K21" i="2"/>
  <c r="L21" i="2"/>
  <c r="J21" i="2"/>
  <c r="I21" i="2"/>
  <c r="H21" i="2"/>
  <c r="E21" i="2"/>
  <c r="L26" i="2"/>
  <c r="K26" i="2"/>
  <c r="H26" i="2"/>
  <c r="J26" i="2"/>
  <c r="E26" i="2"/>
  <c r="E20" i="2"/>
  <c r="J20" i="2"/>
  <c r="H20" i="2"/>
  <c r="J24" i="2"/>
  <c r="I24" i="2"/>
  <c r="E26" i="5"/>
  <c r="H24" i="2"/>
  <c r="L24" i="2"/>
  <c r="L27" i="2" s="1"/>
  <c r="L20" i="2"/>
  <c r="I20" i="2"/>
  <c r="E7" i="5"/>
  <c r="E2" i="5"/>
  <c r="G16" i="4"/>
  <c r="H16" i="4" s="1"/>
  <c r="G15" i="4"/>
  <c r="N24" i="2"/>
  <c r="S19" i="4"/>
  <c r="N19" i="4"/>
  <c r="M19" i="4"/>
  <c r="R15" i="4"/>
  <c r="H15" i="4"/>
  <c r="B7" i="4"/>
  <c r="B6" i="4"/>
  <c r="G3" i="2"/>
  <c r="G27" i="2" s="1"/>
  <c r="S18" i="3"/>
  <c r="K18" i="3"/>
  <c r="I18" i="3"/>
  <c r="J18" i="3" s="1"/>
  <c r="H17" i="3"/>
  <c r="G18" i="3"/>
  <c r="H18" i="3" s="1"/>
  <c r="D18" i="3"/>
  <c r="C18" i="3"/>
  <c r="E18" i="3" s="1"/>
  <c r="R18" i="3"/>
  <c r="R16" i="3"/>
  <c r="R15" i="3"/>
  <c r="R14" i="3"/>
  <c r="R13" i="3"/>
  <c r="Q18" i="3"/>
  <c r="P18" i="3"/>
  <c r="O18" i="3"/>
  <c r="N18" i="3"/>
  <c r="M18" i="3"/>
  <c r="L18" i="3"/>
  <c r="H16" i="3"/>
  <c r="G16" i="3"/>
  <c r="E15" i="3"/>
  <c r="E16" i="3"/>
  <c r="F17" i="3"/>
  <c r="I17" i="3"/>
  <c r="J17" i="3"/>
  <c r="E17" i="3"/>
  <c r="D17" i="3"/>
  <c r="C17" i="3"/>
  <c r="B17" i="3"/>
  <c r="T13" i="3"/>
  <c r="Q13" i="3"/>
  <c r="Q16" i="3"/>
  <c r="Q14" i="3"/>
  <c r="B16" i="3"/>
  <c r="G14" i="3"/>
  <c r="E14" i="3"/>
  <c r="G15" i="3"/>
  <c r="H15" i="3"/>
  <c r="T15" i="3" s="1"/>
  <c r="T16" i="3"/>
  <c r="B6" i="3"/>
  <c r="G13" i="3"/>
  <c r="E13" i="3"/>
  <c r="H13" i="3"/>
  <c r="B7" i="3"/>
  <c r="I7" i="2"/>
  <c r="E9" i="2"/>
  <c r="E7" i="2"/>
  <c r="C5" i="2"/>
  <c r="C27" i="2" s="1"/>
  <c r="D14" i="2"/>
  <c r="E14" i="2" s="1"/>
  <c r="G13" i="2"/>
  <c r="D13" i="2"/>
  <c r="E13" i="2" s="1"/>
  <c r="D12" i="2"/>
  <c r="G12" i="2"/>
  <c r="E12" i="2"/>
  <c r="D10" i="2"/>
  <c r="U10" i="2" s="1"/>
  <c r="E5" i="2"/>
  <c r="D6" i="2"/>
  <c r="E6" i="2"/>
  <c r="D8" i="2"/>
  <c r="E8" i="2"/>
  <c r="J3" i="2"/>
  <c r="C4" i="2"/>
  <c r="D4" i="2" s="1"/>
  <c r="P3" i="2"/>
  <c r="E3" i="2"/>
  <c r="F2" i="2"/>
  <c r="G2" i="2" s="1"/>
  <c r="E2" i="2"/>
  <c r="K15" i="2"/>
  <c r="K4" i="2"/>
  <c r="H3" i="2"/>
  <c r="I2" i="2"/>
  <c r="S3" i="2"/>
  <c r="R3" i="2"/>
  <c r="J2" i="2"/>
  <c r="G29" i="2" l="1"/>
  <c r="G28" i="2"/>
  <c r="D29" i="2"/>
  <c r="E29" i="2" s="1"/>
  <c r="J29" i="2"/>
  <c r="I29" i="2"/>
  <c r="N29" i="2"/>
  <c r="P29" i="2" s="1"/>
  <c r="D28" i="2"/>
  <c r="E28" i="2" s="1"/>
  <c r="D25" i="2"/>
  <c r="G11" i="2"/>
  <c r="U11" i="2"/>
  <c r="V11" i="2" s="1"/>
  <c r="E11" i="2"/>
  <c r="J11" i="2"/>
  <c r="I11" i="2"/>
  <c r="H11" i="2"/>
  <c r="G21" i="4"/>
  <c r="H21" i="4" s="1"/>
  <c r="Q21" i="4"/>
  <c r="P21" i="4"/>
  <c r="O21" i="4"/>
  <c r="R21" i="4" s="1"/>
  <c r="T21" i="4" s="1"/>
  <c r="T20" i="4"/>
  <c r="Q20" i="4"/>
  <c r="P20" i="4"/>
  <c r="O20" i="4"/>
  <c r="R20" i="4" s="1"/>
  <c r="D19" i="4"/>
  <c r="M20" i="2"/>
  <c r="M22" i="2"/>
  <c r="M21" i="2"/>
  <c r="N22" i="2"/>
  <c r="P22" i="2"/>
  <c r="S22" i="2"/>
  <c r="R22" i="2"/>
  <c r="D19" i="2"/>
  <c r="M26" i="2"/>
  <c r="N20" i="2"/>
  <c r="N26" i="2"/>
  <c r="P26" i="2" s="1"/>
  <c r="R26" i="2" s="1"/>
  <c r="N21" i="2"/>
  <c r="G19" i="2"/>
  <c r="G25" i="2"/>
  <c r="I25" i="2"/>
  <c r="D23" i="2"/>
  <c r="E19" i="2"/>
  <c r="H19" i="2"/>
  <c r="J19" i="2"/>
  <c r="I19" i="2"/>
  <c r="G23" i="2"/>
  <c r="G18" i="2"/>
  <c r="G15" i="2"/>
  <c r="E23" i="2"/>
  <c r="D18" i="2"/>
  <c r="E18" i="2" s="1"/>
  <c r="D15" i="2"/>
  <c r="E15" i="2" s="1"/>
  <c r="L15" i="4"/>
  <c r="J18" i="4"/>
  <c r="I19" i="4"/>
  <c r="J19" i="4" s="1"/>
  <c r="L19" i="4"/>
  <c r="Q19" i="4"/>
  <c r="P19" i="4"/>
  <c r="O19" i="4"/>
  <c r="R19" i="4" s="1"/>
  <c r="I26" i="2"/>
  <c r="J23" i="2"/>
  <c r="I23" i="2"/>
  <c r="H23" i="2"/>
  <c r="J18" i="2"/>
  <c r="I18" i="2"/>
  <c r="H18" i="2"/>
  <c r="K7" i="2"/>
  <c r="K14" i="2"/>
  <c r="K9" i="2"/>
  <c r="G8" i="2"/>
  <c r="G6" i="2"/>
  <c r="I6" i="2" s="1"/>
  <c r="T18" i="3"/>
  <c r="H14" i="3"/>
  <c r="G17" i="3"/>
  <c r="J14" i="3"/>
  <c r="J15" i="3"/>
  <c r="J16" i="3"/>
  <c r="J13" i="3"/>
  <c r="L14" i="3"/>
  <c r="L15" i="3"/>
  <c r="L16" i="3"/>
  <c r="L13" i="3"/>
  <c r="V13" i="3"/>
  <c r="V16" i="3"/>
  <c r="J9" i="2"/>
  <c r="I9" i="2"/>
  <c r="H9" i="2"/>
  <c r="G4" i="2"/>
  <c r="J7" i="2"/>
  <c r="H7" i="2"/>
  <c r="K5" i="2"/>
  <c r="K27" i="2" s="1"/>
  <c r="K13" i="2"/>
  <c r="K12" i="2"/>
  <c r="K6" i="2"/>
  <c r="G10" i="2"/>
  <c r="H6" i="2"/>
  <c r="G14" i="2"/>
  <c r="J6" i="2"/>
  <c r="H2" i="2"/>
  <c r="P2" i="2" s="1"/>
  <c r="J13" i="2"/>
  <c r="I13" i="2"/>
  <c r="H13" i="2"/>
  <c r="J12" i="2"/>
  <c r="I12" i="2"/>
  <c r="H12" i="2"/>
  <c r="V10" i="2"/>
  <c r="E10" i="2"/>
  <c r="J10" i="2"/>
  <c r="I10" i="2"/>
  <c r="H10" i="2"/>
  <c r="J5" i="2"/>
  <c r="I5" i="2"/>
  <c r="H5" i="2"/>
  <c r="K8" i="2"/>
  <c r="E4" i="2"/>
  <c r="U8" i="2"/>
  <c r="V8" i="2" s="1"/>
  <c r="I3" i="2"/>
  <c r="S29" i="2" l="1"/>
  <c r="R29" i="2"/>
  <c r="H28" i="2"/>
  <c r="J28" i="2"/>
  <c r="I28" i="2"/>
  <c r="J16" i="2"/>
  <c r="J27" i="2" s="1"/>
  <c r="I16" i="2"/>
  <c r="I27" i="2" s="1"/>
  <c r="H16" i="2"/>
  <c r="H27" i="2" s="1"/>
  <c r="E25" i="2"/>
  <c r="E16" i="2"/>
  <c r="N11" i="2"/>
  <c r="P11" i="2" s="1"/>
  <c r="H19" i="4"/>
  <c r="P21" i="2"/>
  <c r="J25" i="2"/>
  <c r="H25" i="2"/>
  <c r="N10" i="2"/>
  <c r="N6" i="2"/>
  <c r="P6" i="2" s="1"/>
  <c r="N12" i="2"/>
  <c r="P12" i="2" s="1"/>
  <c r="N13" i="2"/>
  <c r="P13" i="2" s="1"/>
  <c r="N9" i="2"/>
  <c r="P9" i="2" s="1"/>
  <c r="N7" i="2"/>
  <c r="P7" i="2" s="1"/>
  <c r="S7" i="2" s="1"/>
  <c r="N18" i="2"/>
  <c r="N23" i="2"/>
  <c r="P23" i="2" s="1"/>
  <c r="N19" i="2"/>
  <c r="P19" i="2" s="1"/>
  <c r="N25" i="2"/>
  <c r="P25" i="2" s="1"/>
  <c r="P20" i="2"/>
  <c r="N5" i="2"/>
  <c r="S20" i="2"/>
  <c r="R20" i="2"/>
  <c r="S25" i="2"/>
  <c r="R25" i="2"/>
  <c r="P24" i="2"/>
  <c r="S19" i="2"/>
  <c r="R19" i="2"/>
  <c r="R2" i="2"/>
  <c r="S2" i="2"/>
  <c r="T15" i="4"/>
  <c r="V15" i="4" s="1"/>
  <c r="S26" i="2"/>
  <c r="P18" i="2"/>
  <c r="S23" i="2"/>
  <c r="R23" i="2"/>
  <c r="S18" i="2"/>
  <c r="R18" i="2"/>
  <c r="I8" i="2"/>
  <c r="H8" i="2"/>
  <c r="J8" i="2"/>
  <c r="H15" i="2"/>
  <c r="J15" i="2"/>
  <c r="I15" i="2"/>
  <c r="T14" i="3"/>
  <c r="V14" i="3" s="1"/>
  <c r="Y13" i="3"/>
  <c r="X13" i="3"/>
  <c r="Y16" i="3"/>
  <c r="X16" i="3"/>
  <c r="V15" i="3"/>
  <c r="V18" i="3"/>
  <c r="S9" i="2"/>
  <c r="R9" i="2"/>
  <c r="R7" i="2"/>
  <c r="H14" i="2"/>
  <c r="N14" i="2" s="1"/>
  <c r="I14" i="2"/>
  <c r="J14" i="2"/>
  <c r="P14" i="2"/>
  <c r="S13" i="2"/>
  <c r="R13" i="2"/>
  <c r="S12" i="2"/>
  <c r="R12" i="2"/>
  <c r="P10" i="2"/>
  <c r="I4" i="2"/>
  <c r="H4" i="2"/>
  <c r="N4" i="2" s="1"/>
  <c r="P4" i="2" s="1"/>
  <c r="R4" i="2" s="1"/>
  <c r="J4" i="2"/>
  <c r="R6" i="2"/>
  <c r="S6" i="2"/>
  <c r="N28" i="2" l="1"/>
  <c r="N16" i="2"/>
  <c r="E27" i="2"/>
  <c r="S11" i="2"/>
  <c r="R11" i="2"/>
  <c r="T19" i="4"/>
  <c r="V19" i="4" s="1"/>
  <c r="S21" i="2"/>
  <c r="R21" i="2"/>
  <c r="N15" i="2"/>
  <c r="P15" i="2" s="1"/>
  <c r="R15" i="2" s="1"/>
  <c r="N8" i="2"/>
  <c r="P8" i="2" s="1"/>
  <c r="S24" i="2"/>
  <c r="R24" i="2"/>
  <c r="P5" i="2"/>
  <c r="Y15" i="4"/>
  <c r="X15" i="4"/>
  <c r="Y19" i="4"/>
  <c r="X19" i="4"/>
  <c r="S15" i="2"/>
  <c r="Y14" i="3"/>
  <c r="X14" i="3"/>
  <c r="Y18" i="3"/>
  <c r="X18" i="3"/>
  <c r="Y15" i="3"/>
  <c r="X15" i="3"/>
  <c r="R14" i="2"/>
  <c r="S14" i="2"/>
  <c r="S10" i="2"/>
  <c r="R10" i="2"/>
  <c r="S4" i="2"/>
  <c r="P16" i="2" l="1"/>
  <c r="N27" i="2"/>
  <c r="R8" i="2"/>
  <c r="S8" i="2"/>
  <c r="S5" i="2"/>
  <c r="R5" i="2"/>
  <c r="S16" i="2" l="1"/>
  <c r="S27" i="2" s="1"/>
  <c r="R16" i="2"/>
  <c r="R27" i="2" s="1"/>
  <c r="P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Oswaldo Rivera Taborda</author>
  </authors>
  <commentList>
    <comment ref="K6" authorId="0" shapeId="0" xr:uid="{7836BCA8-69A4-41FE-8F26-20DD4B421BA6}">
      <text>
        <r>
          <rPr>
            <sz val="11"/>
            <color theme="1"/>
            <rFont val="Aptos Narrow"/>
            <family val="2"/>
            <scheme val="minor"/>
          </rPr>
          <t>Oswaldo Rivera Taborda:
Se añade costo de posible añadida de honeycombs en el empaque.</t>
        </r>
      </text>
    </comment>
    <comment ref="K7" authorId="0" shapeId="0" xr:uid="{8CC701CF-A804-483E-BAA7-FF9DB114FC1A}">
      <text>
        <r>
          <rPr>
            <sz val="11"/>
            <color theme="1"/>
            <rFont val="Aptos Narrow"/>
            <family val="2"/>
            <scheme val="minor"/>
          </rPr>
          <t>Oswaldo Rivera Taborda:
Se añade costo de posible añadida de honeycombs en el empaque.</t>
        </r>
      </text>
    </comment>
  </commentList>
</comments>
</file>

<file path=xl/sharedStrings.xml><?xml version="1.0" encoding="utf-8"?>
<sst xmlns="http://schemas.openxmlformats.org/spreadsheetml/2006/main" count="407" uniqueCount="227">
  <si>
    <t>Cógido</t>
  </si>
  <si>
    <t>Nombre</t>
  </si>
  <si>
    <t>Tipo de producto</t>
  </si>
  <si>
    <t>Unidad de medida</t>
  </si>
  <si>
    <t>Costo x unidad</t>
  </si>
  <si>
    <t>Fecha actualización costo</t>
  </si>
  <si>
    <t>Costo PEROXIDO LUPEROX K12G</t>
  </si>
  <si>
    <t>MS</t>
  </si>
  <si>
    <t>CMPD01-0016-000-0000</t>
  </si>
  <si>
    <t>PEROXIDO REVOX HD-50(REVOX HD) -  Para todo menos Gelcoat Gris FV y RTM</t>
  </si>
  <si>
    <t>GR</t>
  </si>
  <si>
    <t>26/05/2025</t>
  </si>
  <si>
    <t>PINP01-0006-000-0000</t>
  </si>
  <si>
    <t>MEZCLA POLIMERO COLADO</t>
  </si>
  <si>
    <t>KG</t>
  </si>
  <si>
    <t>CMPD01-0022-000-0000</t>
  </si>
  <si>
    <t>GELCOAT BLANCO 898GC/ 5-2899W</t>
  </si>
  <si>
    <t>PGEL01-0008-000-0508</t>
  </si>
  <si>
    <t>GELCOAT BLANCO FORT</t>
  </si>
  <si>
    <t>Costo KG Perla</t>
  </si>
  <si>
    <t>CEMP03-0426-000-0000</t>
  </si>
  <si>
    <t>LAMINA CARTON 1.15X2MT CALIBRE E450 E-MICROCORRUGADO ESTAMPADO PARA CAJAS MS</t>
  </si>
  <si>
    <t>PZCO01-0001-000-0000</t>
  </si>
  <si>
    <t>MANO OBRA POR MIN MARMOL SINTETICO</t>
  </si>
  <si>
    <t>MIN</t>
  </si>
  <si>
    <t>Manual</t>
  </si>
  <si>
    <t>NO</t>
  </si>
  <si>
    <t>N/A</t>
  </si>
  <si>
    <t>No</t>
  </si>
  <si>
    <t>FINANZAS</t>
  </si>
  <si>
    <t>21/01/2025</t>
  </si>
  <si>
    <t>SIN MOLDE</t>
  </si>
  <si>
    <t>Finanzas</t>
  </si>
  <si>
    <t>ZCO01</t>
  </si>
  <si>
    <t>Sí</t>
  </si>
  <si>
    <t>PZCO01-0011-000-0000</t>
  </si>
  <si>
    <t>MANO OBRA POR MIN FIBRA DE VIDRIO</t>
  </si>
  <si>
    <t>FV</t>
  </si>
  <si>
    <t>PZCO01-0012-000-0000</t>
  </si>
  <si>
    <t>MANO OBRA POR MIN RTM LIGHT</t>
  </si>
  <si>
    <t>RTM</t>
  </si>
  <si>
    <t>PZCO01-0013-000-0000</t>
  </si>
  <si>
    <t>MANO OBRA POR MIN PLANTA AMBIENTAL</t>
  </si>
  <si>
    <t>13/09/2023</t>
  </si>
  <si>
    <t>PZCO01-0014-000-0000</t>
  </si>
  <si>
    <t>MANO OBRA POR MIN MUEBLES</t>
  </si>
  <si>
    <t>MBL</t>
  </si>
  <si>
    <t>PZCO01-0023-000-0000</t>
  </si>
  <si>
    <t>MANO OBRA POR MIN CEFI</t>
  </si>
  <si>
    <t>CEFI</t>
  </si>
  <si>
    <t>PZCO01-0002-000-0000</t>
  </si>
  <si>
    <t>CIF POR MINUTO</t>
  </si>
  <si>
    <t>MS, FV</t>
  </si>
  <si>
    <t>PZCO01-0015-000-0000</t>
  </si>
  <si>
    <t>CIF POR MINUTO MUEBLES</t>
  </si>
  <si>
    <t>PZCO01-0024-000-0000</t>
  </si>
  <si>
    <t>CIF POR MINUTO CEFI</t>
  </si>
  <si>
    <t>PZCO01-0004-000-0000</t>
  </si>
  <si>
    <t>CIF POR MINUTO MOLDES</t>
  </si>
  <si>
    <t>MOLDES</t>
  </si>
  <si>
    <t>CEMP02-0226-000-0000</t>
  </si>
  <si>
    <t>ETIQUETA REVISION CALIDAD PC</t>
  </si>
  <si>
    <t>CEMP03-0307-000-0000</t>
  </si>
  <si>
    <t>ETIQUETA ADHESIVA SIN IMPRESION 100X200MM</t>
  </si>
  <si>
    <t>CEMP02-0363-000-0000</t>
  </si>
  <si>
    <t>HONEYCOMB 30X7.5X3.1CM 540 - HCC W 26_27W - L240</t>
  </si>
  <si>
    <t>Empaque MS</t>
  </si>
  <si>
    <t>UN</t>
  </si>
  <si>
    <t>LISTON HCC 10.6 E 4CM * A 6CM * L 30CM / L240 - L240</t>
  </si>
  <si>
    <t>CEMP02-0042-000-0000</t>
  </si>
  <si>
    <t>CAJA MESON ECO 150x55CM</t>
  </si>
  <si>
    <t>INSTRUCCIONES</t>
  </si>
  <si>
    <t>LAMINA CARTON 4 MM</t>
  </si>
  <si>
    <t>CMPD03-0007-000-0000</t>
  </si>
  <si>
    <t>FIBRA DE VIDRIO PICADA</t>
  </si>
  <si>
    <t>COMP02-0033-000-0000</t>
  </si>
  <si>
    <t>TUERCA 12MM P1.75 HEXAGONAL PARA HERRAJES</t>
  </si>
  <si>
    <t>CMPD07-0012-000-0000</t>
  </si>
  <si>
    <t>TORNILLO ENSAMBLE 6X1IN</t>
  </si>
  <si>
    <t>CMPD04-0002-000-0000</t>
  </si>
  <si>
    <t>TAPA TORNILLO PLAST 9MM (DAMA SENCILLA) BLANCA</t>
  </si>
  <si>
    <t>CMPD04-0044-000-0000</t>
  </si>
  <si>
    <t>SNAP FIJACION FALDON</t>
  </si>
  <si>
    <t>CMPD04-0045-000-0000</t>
  </si>
  <si>
    <t>L FIJACION FALDON ACH</t>
  </si>
  <si>
    <t>COMP02-0028-000-0000</t>
  </si>
  <si>
    <t>TUBO C18 3/4IN MECANICO CUADRADO GALVANIZADO</t>
  </si>
  <si>
    <t>CEMP02-0113-000-0000</t>
  </si>
  <si>
    <t>CARTON SINGLE FACE 20CM</t>
  </si>
  <si>
    <t>PINP01-0004-000-0000</t>
  </si>
  <si>
    <t>REFUERZO FIBRA VIDRIO CON RESINA CARGADA Y CATALIZADOR</t>
  </si>
  <si>
    <t>PINP01-0005-000-0000</t>
  </si>
  <si>
    <t>REFUERZO FIBRA VIDRIO CON RESINA SIN CARGA Y CATALIZADOR</t>
  </si>
  <si>
    <t>CMPD01-0017-000-0000</t>
  </si>
  <si>
    <t>PEROXIDO LUPEROX K12G</t>
  </si>
  <si>
    <t>PINP01-0007-000-0000</t>
  </si>
  <si>
    <t>MASILLA PARA VACIADO</t>
  </si>
  <si>
    <t>CEMP02-0208-000-0000</t>
  </si>
  <si>
    <t>CAJA LVM MULTIPLE 124X48</t>
  </si>
  <si>
    <t>Código</t>
  </si>
  <si>
    <t>Referencia</t>
  </si>
  <si>
    <t>Volumen (mm^3)</t>
  </si>
  <si>
    <t>Mezcla Polimero colado (kg)</t>
  </si>
  <si>
    <t>Costo Mezcla ($)</t>
  </si>
  <si>
    <t>Área superficial (mm^2)</t>
  </si>
  <si>
    <t>Gelcoat (kg)</t>
  </si>
  <si>
    <t>Costo Gelcoat ($)</t>
  </si>
  <si>
    <t>Peroxido (gr)</t>
  </si>
  <si>
    <t>Costo peroxido</t>
  </si>
  <si>
    <t>Empaque</t>
  </si>
  <si>
    <t>Etiqueta calidad + Intructivo</t>
  </si>
  <si>
    <t>Otros</t>
  </si>
  <si>
    <t>Costo producto MP Apróximado sin MO ni CIF ($)</t>
  </si>
  <si>
    <t>MC%</t>
  </si>
  <si>
    <t>Precio Mínimo</t>
  </si>
  <si>
    <t>Descuento</t>
  </si>
  <si>
    <t>Precio Maximo</t>
  </si>
  <si>
    <t>PVP</t>
  </si>
  <si>
    <t>Peso neto (kg)</t>
  </si>
  <si>
    <t>Peso bruto (kg)</t>
  </si>
  <si>
    <t>LVR VERSA 50X50</t>
  </si>
  <si>
    <t>LVM OSLO 48X38 (REAL)</t>
  </si>
  <si>
    <t>LVM VESSEL DOHA</t>
  </si>
  <si>
    <t>LVM VESSEL DOHA (REAL)</t>
  </si>
  <si>
    <t>Meson Oasis 63x48</t>
  </si>
  <si>
    <t>Meson Oasis 63x48 (REAL)</t>
  </si>
  <si>
    <t>Lavamanos Meca Vessel 35x35</t>
  </si>
  <si>
    <t>Lavamanos Meca Vessel 35x35 (REAL)</t>
  </si>
  <si>
    <t>Placa Genova 63x48</t>
  </si>
  <si>
    <t>Placa Genova 79x48</t>
  </si>
  <si>
    <t>Piso ducha 183x86.5</t>
  </si>
  <si>
    <t>Piso ducha 152.5x86.5</t>
  </si>
  <si>
    <t>LVM OSLO 184,5x57,5</t>
  </si>
  <si>
    <t>LVR VERSA 55X50 - Calculo 3D</t>
  </si>
  <si>
    <t>LVR VERSA 55X50 - REAL</t>
  </si>
  <si>
    <t>Lavarropas Versa 50X50 - REAL</t>
  </si>
  <si>
    <t>Meson VERSA 150x55 con Perf Cub (CALCULO 3D)</t>
  </si>
  <si>
    <t>MESON COCINA VERSA 150X55 BLANCO FORT-SIN PERF CUB-SIN PERF GRIF (3D)</t>
  </si>
  <si>
    <t>VCOC05-0024-SCG-0508</t>
  </si>
  <si>
    <t>MESON COCINA VERSA 150X55 BLANCO FORT-SIN PERF CUB-SIN PERF GRIF (REAL)</t>
  </si>
  <si>
    <t>MESON COCINA VERSA 150X55 BLANCO FORT-SIN PERF CUB-SIN PERF GRIF (BOWL +3CM Profundidad)</t>
  </si>
  <si>
    <t>MESON COCINA VERSA 150X55 BLANCO FORT-PERF CUB-SIN PERF GRIF (3D)</t>
  </si>
  <si>
    <t>Meson Eco 150x55 sin Perf Cub (CALCULO 3D)</t>
  </si>
  <si>
    <t>VCOC05-0007-SCG-0508</t>
  </si>
  <si>
    <t>MESON COCINA ECO 150X55 BLANCO FORT-SIN PERF CUB-SIN PERF GRIF (REAL)</t>
  </si>
  <si>
    <t>Meson Eco 150x55 con Perf Cub - Calculo 3D</t>
  </si>
  <si>
    <t>VCOC05-0007-SNG-0508</t>
  </si>
  <si>
    <t>MESON COCINA ECO 150X55 BLANCO FORT-PERF CUB-SIN PERF GRIF (REAL)</t>
  </si>
  <si>
    <t>PROMEDIO</t>
  </si>
  <si>
    <t>LAVAMANOS SIENA 124X48 1 BOWL IZQ/DER</t>
  </si>
  <si>
    <t>LAVAPLATO KOA 33INX22IN (3D)</t>
  </si>
  <si>
    <t>Costo TUERCA 12MM P1.75 HEXAGONAL PARA HERRAJES</t>
  </si>
  <si>
    <t>Costo TORNILLO ENSAMBLE 6X1IN</t>
  </si>
  <si>
    <t>Costo TAPA TORNILLO PLAST 9MM (DAMA SENCILLA) BLANCA</t>
  </si>
  <si>
    <t>Costo SNAP FIJACION FALDON</t>
  </si>
  <si>
    <t>Costo L FIJACION FALDON ACH (UND)</t>
  </si>
  <si>
    <t>Costo TUBO C18 3/4IN MECANICO CUADRADO GALVANIZADO (MT)</t>
  </si>
  <si>
    <t>Costo CARTON SINGLE FACE 20CM (MT)</t>
  </si>
  <si>
    <t>Costo REFUERZO FIBRA VIDRIO CON RESINA CARGADA Y CATALIZADOR (KG)</t>
  </si>
  <si>
    <t>Costo GELCOAT BLANCO 898GC/ 5-2899W (KG)</t>
  </si>
  <si>
    <t>Costo PEROXIDO LUPEROX K12G (GR)</t>
  </si>
  <si>
    <t>Costo MASILLA PARA VACIADO  (KG)</t>
  </si>
  <si>
    <t>OTROS</t>
  </si>
  <si>
    <t>Refuerzo FV + Resina Cargada + Catalizador (KG)</t>
  </si>
  <si>
    <t>Masilla para vaciado (KG)</t>
  </si>
  <si>
    <t>Costo conformación ($)</t>
  </si>
  <si>
    <t>Peroxido pintura (gr)</t>
  </si>
  <si>
    <t>Costo Pintura ($)</t>
  </si>
  <si>
    <t>Cartón single face (MT)</t>
  </si>
  <si>
    <t>Costo single face ($)</t>
  </si>
  <si>
    <t>Tubo 3/4 IN Galvanizado (MT)</t>
  </si>
  <si>
    <t>Costo estructura metálica ($)</t>
  </si>
  <si>
    <t>Ele fijación (UND)</t>
  </si>
  <si>
    <t>Snap fijación (UND)</t>
  </si>
  <si>
    <t>Dama sencilla (UND)</t>
  </si>
  <si>
    <t>Tornillo 1IN</t>
  </si>
  <si>
    <t>Tuerca 12 mm (UND)</t>
  </si>
  <si>
    <t>Costo ensamble Faldón</t>
  </si>
  <si>
    <t>Costo otros</t>
  </si>
  <si>
    <t>FALDON HONOLULU DERECHO 180x120</t>
  </si>
  <si>
    <t>FALDON QATAR BLANCO 180X100</t>
  </si>
  <si>
    <t>FALDON NORUEGA BLANCO 156</t>
  </si>
  <si>
    <t>FALDON MILENIUM PLUS (2 PARTES) BLANCO 182X123</t>
  </si>
  <si>
    <t>PROMEDIO CONSUMO FALDONES</t>
  </si>
  <si>
    <t>FALDON SANTORINI PLUS BLANCO 180x180</t>
  </si>
  <si>
    <t>Refuerzo FV + Resina SIN carga + Catalizador (KG)</t>
  </si>
  <si>
    <t>HIDROMASAJE HONOLULU DERECHA 180X120 BLANCO</t>
  </si>
  <si>
    <t>HIDROMASAJE TAHITI 152X152 BLANCO</t>
  </si>
  <si>
    <t>HIDROMASAJE NORUEGA 156 BLANCO</t>
  </si>
  <si>
    <t>HIDROMASAJE DANESA 189x113 BLANCO</t>
  </si>
  <si>
    <t>HIDROMASAJE SANTORINI 180X180</t>
  </si>
  <si>
    <t>PROMEDIO CONSUMO HIDROS</t>
  </si>
  <si>
    <t>HIDROMASAJE MYDAS 182 BLANCO</t>
  </si>
  <si>
    <t>HIDROMASAJE IBIZA 182X100 BLANCO-CONSTRU</t>
  </si>
  <si>
    <t>HIDROMASAJE IBIZA 195X165 BLANCO</t>
  </si>
  <si>
    <t>Cuerpos (1)</t>
  </si>
  <si>
    <t>Área</t>
  </si>
  <si>
    <t>Densidad</t>
  </si>
  <si>
    <t>0.008 g / mm^3</t>
  </si>
  <si>
    <t>Masa</t>
  </si>
  <si>
    <t>0.00 g</t>
  </si>
  <si>
    <t>Volumen</t>
  </si>
  <si>
    <t>0.00 mm^3</t>
  </si>
  <si>
    <t>Material físico</t>
  </si>
  <si>
    <t>Acero</t>
  </si>
  <si>
    <t>Aspecto</t>
  </si>
  <si>
    <t>Acero - Satinado</t>
  </si>
  <si>
    <t>Cuadro delimitador</t>
  </si>
  <si>
    <t xml:space="preserve">Longitud </t>
  </si>
  <si>
    <t xml:space="preserve"> 1950.00 mm</t>
  </si>
  <si>
    <t xml:space="preserve">Anchura </t>
  </si>
  <si>
    <t xml:space="preserve"> 1650.00 mm</t>
  </si>
  <si>
    <t xml:space="preserve">Altura </t>
  </si>
  <si>
    <t xml:space="preserve"> 515.00 mm</t>
  </si>
  <si>
    <t>Centro de masa</t>
  </si>
  <si>
    <t>0.00 mm, 0.00 mm, 0.00 mm</t>
  </si>
  <si>
    <t>Momento de inercia en el centro de masa   (g mm^2)</t>
  </si>
  <si>
    <t>Ixx = 0.00</t>
  </si>
  <si>
    <t>Ixy = 0.00</t>
  </si>
  <si>
    <t>Ixz = 0.00</t>
  </si>
  <si>
    <t>Iyx = 0.00</t>
  </si>
  <si>
    <t>Iyy = 0.00</t>
  </si>
  <si>
    <t>Iyz = 0.00</t>
  </si>
  <si>
    <t>Izx = 0.00</t>
  </si>
  <si>
    <t>Izy = 0.00</t>
  </si>
  <si>
    <t>Izz = 0.00</t>
  </si>
  <si>
    <t>Momento de inercia en origen   (g 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</si>
</sst>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.00_);[Red]\(&quot;$&quot;#,##0.00\)"/>
    <numFmt numFmtId="165" formatCode="_-&quot;$&quot;\ * #,##0.00_-;\-&quot;$&quot;\ * #,##0.00_-;_-&quot;$&quot;\ * &quot;-&quot;??_-;_-@_-"/>
    <numFmt numFmtId="166" formatCode="_-* #,##0.00\ _€_-;\-* #,##0.00\ _€_-;_-* &quot;-&quot;??\ _€_-;_-@_-"/>
    <numFmt numFmtId="167" formatCode="0.000"/>
    <numFmt numFmtId="168" formatCode="0.0"/>
    <numFmt numFmtId="169" formatCode="&quot;$&quot;#,##0.00"/>
    <numFmt numFmtId="170" formatCode="_([$$-409]* #,##0.00_);_([$$-409]* \(#,##0.00\);_([$$-409]* &quot;-&quot;??_);_(@_)"/>
    <numFmt numFmtId="171" formatCode="_-[$$-240A]\ * #,##0.00_-;\-[$$-240A]\ * #,##0.00_-;_-[$$-240A]\ * &quot;-&quot;??_-;_-@_-"/>
    <numFmt numFmtId="172" formatCode="0.0000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165" fontId="0" fillId="0" borderId="0" xfId="1" applyFont="1"/>
    <xf numFmtId="0" fontId="2" fillId="0" borderId="0" xfId="0" applyFont="1" applyAlignment="1">
      <alignment horizontal="center"/>
    </xf>
    <xf numFmtId="9" fontId="0" fillId="0" borderId="0" xfId="2" applyFont="1" applyAlignment="1">
      <alignment horizontal="center"/>
    </xf>
    <xf numFmtId="166" fontId="0" fillId="0" borderId="0" xfId="0" applyNumberFormat="1"/>
    <xf numFmtId="9" fontId="0" fillId="0" borderId="0" xfId="0" applyNumberFormat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165" fontId="0" fillId="0" borderId="1" xfId="1" applyFont="1" applyBorder="1" applyAlignment="1">
      <alignment horizontal="center"/>
    </xf>
    <xf numFmtId="165" fontId="0" fillId="0" borderId="1" xfId="1" applyFont="1" applyBorder="1"/>
    <xf numFmtId="165" fontId="0" fillId="0" borderId="1" xfId="1" applyFont="1" applyFill="1" applyBorder="1" applyAlignment="1">
      <alignment horizontal="center"/>
    </xf>
    <xf numFmtId="165" fontId="0" fillId="0" borderId="1" xfId="1" applyFont="1" applyFill="1" applyBorder="1"/>
    <xf numFmtId="2" fontId="0" fillId="0" borderId="1" xfId="0" applyNumberFormat="1" applyBorder="1" applyAlignment="1">
      <alignment horizontal="center"/>
    </xf>
    <xf numFmtId="2" fontId="0" fillId="0" borderId="1" xfId="0" applyNumberFormat="1" applyBorder="1"/>
    <xf numFmtId="0" fontId="0" fillId="0" borderId="2" xfId="0" applyBorder="1"/>
    <xf numFmtId="165" fontId="0" fillId="0" borderId="2" xfId="1" applyFont="1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7" fontId="0" fillId="0" borderId="0" xfId="0" applyNumberFormat="1"/>
    <xf numFmtId="2" fontId="0" fillId="0" borderId="1" xfId="1" applyNumberFormat="1" applyFont="1" applyFill="1" applyBorder="1"/>
    <xf numFmtId="0" fontId="0" fillId="0" borderId="0" xfId="0" applyAlignment="1">
      <alignment horizontal="center"/>
    </xf>
    <xf numFmtId="2" fontId="0" fillId="0" borderId="2" xfId="1" applyNumberFormat="1" applyFont="1" applyFill="1" applyBorder="1"/>
    <xf numFmtId="0" fontId="0" fillId="2" borderId="1" xfId="0" applyFill="1" applyBorder="1"/>
    <xf numFmtId="0" fontId="0" fillId="0" borderId="0" xfId="0" applyAlignment="1">
      <alignment wrapText="1"/>
    </xf>
    <xf numFmtId="168" fontId="0" fillId="0" borderId="1" xfId="0" applyNumberFormat="1" applyBorder="1" applyAlignment="1">
      <alignment horizontal="center" vertical="center"/>
    </xf>
    <xf numFmtId="2" fontId="0" fillId="0" borderId="1" xfId="1" applyNumberFormat="1" applyFont="1" applyBorder="1"/>
    <xf numFmtId="16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9" fontId="0" fillId="0" borderId="0" xfId="0" applyNumberFormat="1"/>
    <xf numFmtId="2" fontId="0" fillId="3" borderId="1" xfId="1" applyNumberFormat="1" applyFont="1" applyFill="1" applyBorder="1"/>
    <xf numFmtId="0" fontId="0" fillId="0" borderId="2" xfId="0" applyBorder="1" applyAlignment="1">
      <alignment wrapText="1"/>
    </xf>
    <xf numFmtId="168" fontId="0" fillId="0" borderId="2" xfId="0" applyNumberFormat="1" applyBorder="1" applyAlignment="1">
      <alignment horizontal="center" vertical="center"/>
    </xf>
    <xf numFmtId="9" fontId="0" fillId="0" borderId="0" xfId="0" applyNumberFormat="1"/>
    <xf numFmtId="11" fontId="0" fillId="0" borderId="1" xfId="0" applyNumberFormat="1" applyBorder="1" applyAlignment="1">
      <alignment horizontal="center"/>
    </xf>
    <xf numFmtId="4" fontId="0" fillId="0" borderId="0" xfId="0" applyNumberFormat="1"/>
    <xf numFmtId="170" fontId="0" fillId="0" borderId="0" xfId="0" applyNumberFormat="1"/>
    <xf numFmtId="164" fontId="0" fillId="0" borderId="0" xfId="0" applyNumberFormat="1"/>
    <xf numFmtId="165" fontId="0" fillId="3" borderId="1" xfId="1" applyFont="1" applyFill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/>
    <xf numFmtId="1" fontId="0" fillId="0" borderId="0" xfId="0" applyNumberFormat="1"/>
    <xf numFmtId="2" fontId="0" fillId="2" borderId="1" xfId="1" applyNumberFormat="1" applyFont="1" applyFill="1" applyBorder="1"/>
    <xf numFmtId="168" fontId="0" fillId="2" borderId="1" xfId="0" applyNumberFormat="1" applyFill="1" applyBorder="1" applyAlignment="1">
      <alignment horizontal="center" vertical="center"/>
    </xf>
    <xf numFmtId="171" fontId="0" fillId="0" borderId="0" xfId="0" applyNumberFormat="1"/>
    <xf numFmtId="172" fontId="0" fillId="0" borderId="0" xfId="0" applyNumberFormat="1"/>
    <xf numFmtId="9" fontId="0" fillId="0" borderId="1" xfId="2" applyFont="1" applyBorder="1" applyAlignment="1">
      <alignment horizontal="center"/>
    </xf>
    <xf numFmtId="166" fontId="0" fillId="0" borderId="1" xfId="0" applyNumberFormat="1" applyBorder="1"/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3" borderId="1" xfId="2" applyFont="1" applyFill="1" applyBorder="1" applyAlignment="1">
      <alignment horizontal="center"/>
    </xf>
    <xf numFmtId="166" fontId="0" fillId="3" borderId="1" xfId="0" applyNumberFormat="1" applyFill="1" applyBorder="1"/>
    <xf numFmtId="9" fontId="0" fillId="3" borderId="1" xfId="0" applyNumberFormat="1" applyFill="1" applyBorder="1" applyAlignment="1">
      <alignment horizontal="center"/>
    </xf>
    <xf numFmtId="9" fontId="0" fillId="0" borderId="1" xfId="2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wrapText="1"/>
    </xf>
    <xf numFmtId="1" fontId="0" fillId="2" borderId="0" xfId="0" applyNumberFormat="1" applyFill="1" applyAlignment="1">
      <alignment wrapText="1"/>
    </xf>
    <xf numFmtId="2" fontId="0" fillId="2" borderId="1" xfId="0" applyNumberFormat="1" applyFill="1" applyBorder="1" applyAlignment="1">
      <alignment horizontal="center"/>
    </xf>
    <xf numFmtId="165" fontId="0" fillId="2" borderId="1" xfId="1" applyFont="1" applyFill="1" applyBorder="1" applyAlignment="1">
      <alignment horizontal="center"/>
    </xf>
    <xf numFmtId="11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wrapText="1"/>
    </xf>
    <xf numFmtId="1" fontId="0" fillId="0" borderId="2" xfId="0" applyNumberFormat="1" applyBorder="1"/>
    <xf numFmtId="2" fontId="0" fillId="0" borderId="2" xfId="0" applyNumberFormat="1" applyBorder="1" applyAlignment="1">
      <alignment horizontal="center"/>
    </xf>
    <xf numFmtId="165" fontId="0" fillId="0" borderId="2" xfId="1" applyFont="1" applyFill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2" fontId="0" fillId="0" borderId="2" xfId="0" applyNumberFormat="1" applyBorder="1"/>
    <xf numFmtId="9" fontId="0" fillId="0" borderId="2" xfId="2" applyFont="1" applyFill="1" applyBorder="1" applyAlignment="1">
      <alignment horizontal="center"/>
    </xf>
    <xf numFmtId="166" fontId="0" fillId="0" borderId="2" xfId="0" applyNumberFormat="1" applyBorder="1"/>
    <xf numFmtId="9" fontId="0" fillId="0" borderId="2" xfId="0" applyNumberFormat="1" applyBorder="1" applyAlignment="1">
      <alignment horizontal="center"/>
    </xf>
    <xf numFmtId="14" fontId="0" fillId="0" borderId="0" xfId="0" applyNumberFormat="1"/>
    <xf numFmtId="1" fontId="0" fillId="0" borderId="1" xfId="0" applyNumberFormat="1" applyBorder="1" applyAlignment="1">
      <alignment horizontal="center"/>
    </xf>
    <xf numFmtId="165" fontId="0" fillId="0" borderId="3" xfId="1" applyFont="1" applyFill="1" applyBorder="1"/>
    <xf numFmtId="165" fontId="0" fillId="0" borderId="4" xfId="1" applyFont="1" applyBorder="1"/>
    <xf numFmtId="0" fontId="0" fillId="0" borderId="5" xfId="0" applyBorder="1"/>
    <xf numFmtId="0" fontId="2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24649-5590-44AD-A8A3-EF91FA614E26}">
  <dimension ref="A1:BD100"/>
  <sheetViews>
    <sheetView workbookViewId="0">
      <pane ySplit="1" topLeftCell="A2" activePane="bottomLeft" state="frozen"/>
      <selection pane="bottomLeft" activeCell="E4" sqref="E4"/>
    </sheetView>
  </sheetViews>
  <sheetFormatPr defaultRowHeight="15"/>
  <cols>
    <col min="1" max="1" width="22.85546875" bestFit="1" customWidth="1"/>
    <col min="2" max="2" width="84.85546875" bestFit="1" customWidth="1"/>
    <col min="3" max="3" width="15.5703125" bestFit="1" customWidth="1"/>
    <col min="4" max="4" width="16.85546875" bestFit="1" customWidth="1"/>
    <col min="5" max="5" width="14" bestFit="1" customWidth="1"/>
    <col min="6" max="6" width="23.7109375" bestFit="1" customWidth="1"/>
    <col min="7" max="7" width="9.85546875" bestFit="1" customWidth="1"/>
  </cols>
  <sheetData>
    <row r="1" spans="1:56">
      <c r="A1" t="s">
        <v>0</v>
      </c>
      <c r="B1" t="s">
        <v>1</v>
      </c>
      <c r="C1" t="s">
        <v>2</v>
      </c>
      <c r="D1" t="s">
        <v>3</v>
      </c>
      <c r="E1" s="47" t="s">
        <v>4</v>
      </c>
      <c r="F1" t="s">
        <v>5</v>
      </c>
    </row>
    <row r="2" spans="1:56">
      <c r="B2" t="s">
        <v>6</v>
      </c>
      <c r="C2" t="s">
        <v>7</v>
      </c>
      <c r="E2" s="47">
        <f>513/13.5</f>
        <v>38</v>
      </c>
    </row>
    <row r="3" spans="1:56">
      <c r="A3" t="s">
        <v>8</v>
      </c>
      <c r="B3" t="s">
        <v>9</v>
      </c>
      <c r="D3" t="s">
        <v>10</v>
      </c>
      <c r="E3" s="47">
        <v>35.200000000000003</v>
      </c>
      <c r="F3" t="s">
        <v>11</v>
      </c>
    </row>
    <row r="4" spans="1:56">
      <c r="A4" t="s">
        <v>12</v>
      </c>
      <c r="B4" t="s">
        <v>13</v>
      </c>
      <c r="C4" t="s">
        <v>7</v>
      </c>
      <c r="D4" t="s">
        <v>14</v>
      </c>
      <c r="E4" s="47">
        <v>2518.6799999999998</v>
      </c>
      <c r="F4" s="77">
        <v>46043</v>
      </c>
    </row>
    <row r="5" spans="1:56">
      <c r="A5" t="s">
        <v>15</v>
      </c>
      <c r="B5" t="s">
        <v>16</v>
      </c>
      <c r="C5" t="s">
        <v>7</v>
      </c>
      <c r="E5" s="47">
        <v>18050</v>
      </c>
      <c r="F5" s="77">
        <v>46043</v>
      </c>
    </row>
    <row r="6" spans="1:56">
      <c r="A6" t="s">
        <v>17</v>
      </c>
      <c r="B6" t="s">
        <v>18</v>
      </c>
      <c r="C6" t="s">
        <v>7</v>
      </c>
      <c r="D6" t="s">
        <v>14</v>
      </c>
      <c r="E6" s="47">
        <v>20127</v>
      </c>
      <c r="F6" t="s">
        <v>11</v>
      </c>
    </row>
    <row r="7" spans="1:56">
      <c r="B7" t="s">
        <v>19</v>
      </c>
      <c r="C7" t="s">
        <v>7</v>
      </c>
      <c r="E7" s="47">
        <f>(12553.02+12631.52)/2</f>
        <v>12592.27</v>
      </c>
    </row>
    <row r="8" spans="1:56">
      <c r="A8" t="s">
        <v>20</v>
      </c>
      <c r="B8" t="s">
        <v>21</v>
      </c>
      <c r="C8" t="s">
        <v>7</v>
      </c>
      <c r="E8" s="47">
        <v>6135</v>
      </c>
      <c r="F8" t="s">
        <v>11</v>
      </c>
    </row>
    <row r="9" spans="1:56">
      <c r="A9" t="s">
        <v>22</v>
      </c>
      <c r="B9" t="s">
        <v>23</v>
      </c>
      <c r="C9" t="s">
        <v>7</v>
      </c>
      <c r="D9" s="47" t="s">
        <v>24</v>
      </c>
      <c r="E9" s="47">
        <v>327</v>
      </c>
      <c r="F9" t="s">
        <v>11</v>
      </c>
      <c r="Y9">
        <v>0</v>
      </c>
      <c r="AA9" t="s">
        <v>25</v>
      </c>
      <c r="AB9" t="s">
        <v>26</v>
      </c>
      <c r="AD9" t="s">
        <v>27</v>
      </c>
      <c r="AE9" t="s">
        <v>28</v>
      </c>
      <c r="AF9" t="s">
        <v>28</v>
      </c>
      <c r="AH9" t="s">
        <v>29</v>
      </c>
      <c r="AI9">
        <v>0</v>
      </c>
      <c r="AJ9" t="s">
        <v>24</v>
      </c>
      <c r="AK9" t="s">
        <v>30</v>
      </c>
      <c r="AL9" t="s">
        <v>31</v>
      </c>
      <c r="AP9" t="s">
        <v>24</v>
      </c>
      <c r="AS9" t="s">
        <v>28</v>
      </c>
      <c r="AT9" t="s">
        <v>32</v>
      </c>
      <c r="AU9" t="s">
        <v>33</v>
      </c>
      <c r="AV9">
        <v>0</v>
      </c>
      <c r="AW9" t="s">
        <v>28</v>
      </c>
      <c r="AX9" t="s">
        <v>26</v>
      </c>
      <c r="AY9">
        <v>1</v>
      </c>
      <c r="AZ9" t="s">
        <v>34</v>
      </c>
      <c r="BA9">
        <v>0.01</v>
      </c>
      <c r="BB9">
        <v>0.01</v>
      </c>
      <c r="BC9">
        <v>0.01</v>
      </c>
      <c r="BD9">
        <v>1</v>
      </c>
    </row>
    <row r="10" spans="1:56">
      <c r="A10" t="s">
        <v>35</v>
      </c>
      <c r="B10" t="s">
        <v>36</v>
      </c>
      <c r="C10" t="s">
        <v>37</v>
      </c>
      <c r="D10" s="47" t="s">
        <v>24</v>
      </c>
      <c r="E10" s="47">
        <v>332</v>
      </c>
      <c r="F10" t="s">
        <v>11</v>
      </c>
      <c r="Y10">
        <v>0</v>
      </c>
      <c r="AA10" t="s">
        <v>25</v>
      </c>
      <c r="AB10" t="s">
        <v>26</v>
      </c>
      <c r="AD10" t="s">
        <v>27</v>
      </c>
      <c r="AE10" t="s">
        <v>28</v>
      </c>
      <c r="AF10" t="s">
        <v>28</v>
      </c>
      <c r="AH10" t="s">
        <v>29</v>
      </c>
      <c r="AI10">
        <v>0</v>
      </c>
      <c r="AJ10" t="s">
        <v>24</v>
      </c>
      <c r="AK10" t="s">
        <v>30</v>
      </c>
      <c r="AL10" t="s">
        <v>31</v>
      </c>
      <c r="AP10" t="s">
        <v>24</v>
      </c>
      <c r="AS10" t="s">
        <v>28</v>
      </c>
      <c r="AT10" t="s">
        <v>32</v>
      </c>
      <c r="AU10" t="s">
        <v>33</v>
      </c>
      <c r="AV10">
        <v>0</v>
      </c>
      <c r="AW10" t="s">
        <v>28</v>
      </c>
      <c r="AX10" t="s">
        <v>26</v>
      </c>
      <c r="AY10">
        <v>1</v>
      </c>
      <c r="AZ10" t="s">
        <v>34</v>
      </c>
      <c r="BA10">
        <v>0.01</v>
      </c>
      <c r="BB10">
        <v>0.01</v>
      </c>
      <c r="BC10">
        <v>0.01</v>
      </c>
      <c r="BD10">
        <v>1</v>
      </c>
    </row>
    <row r="11" spans="1:56">
      <c r="A11" t="s">
        <v>38</v>
      </c>
      <c r="B11" s="18" t="s">
        <v>39</v>
      </c>
      <c r="C11" s="18" t="s">
        <v>40</v>
      </c>
      <c r="D11" s="47" t="s">
        <v>24</v>
      </c>
      <c r="E11" s="47">
        <v>340</v>
      </c>
      <c r="F11" t="s">
        <v>11</v>
      </c>
      <c r="Y11">
        <v>0</v>
      </c>
      <c r="AA11" t="s">
        <v>25</v>
      </c>
      <c r="AB11" t="s">
        <v>26</v>
      </c>
      <c r="AD11" t="s">
        <v>27</v>
      </c>
      <c r="AE11" t="s">
        <v>28</v>
      </c>
      <c r="AF11" t="s">
        <v>28</v>
      </c>
      <c r="AH11" t="s">
        <v>29</v>
      </c>
      <c r="AI11">
        <v>0</v>
      </c>
      <c r="AJ11" t="s">
        <v>24</v>
      </c>
      <c r="AK11" t="s">
        <v>30</v>
      </c>
      <c r="AL11" t="s">
        <v>31</v>
      </c>
      <c r="AP11" t="s">
        <v>24</v>
      </c>
      <c r="AS11" t="s">
        <v>28</v>
      </c>
      <c r="AT11" t="s">
        <v>32</v>
      </c>
      <c r="AU11" t="s">
        <v>33</v>
      </c>
      <c r="AV11">
        <v>0</v>
      </c>
      <c r="AW11" t="s">
        <v>28</v>
      </c>
      <c r="AX11" t="s">
        <v>26</v>
      </c>
      <c r="AY11">
        <v>1</v>
      </c>
      <c r="AZ11" t="s">
        <v>34</v>
      </c>
      <c r="BA11">
        <v>0.01</v>
      </c>
      <c r="BB11">
        <v>0.01</v>
      </c>
      <c r="BC11">
        <v>0.01</v>
      </c>
      <c r="BD11">
        <v>1</v>
      </c>
    </row>
    <row r="12" spans="1:56">
      <c r="A12" t="s">
        <v>41</v>
      </c>
      <c r="B12" s="18" t="s">
        <v>42</v>
      </c>
      <c r="C12" s="18"/>
      <c r="D12" s="47" t="s">
        <v>24</v>
      </c>
      <c r="E12" s="47">
        <v>181</v>
      </c>
      <c r="F12" t="s">
        <v>11</v>
      </c>
      <c r="Y12">
        <v>0</v>
      </c>
      <c r="AA12" t="s">
        <v>25</v>
      </c>
      <c r="AB12" t="s">
        <v>26</v>
      </c>
      <c r="AD12" t="s">
        <v>27</v>
      </c>
      <c r="AE12" t="s">
        <v>28</v>
      </c>
      <c r="AF12" t="s">
        <v>28</v>
      </c>
      <c r="AH12" t="s">
        <v>29</v>
      </c>
      <c r="AI12">
        <v>0</v>
      </c>
      <c r="AJ12" t="s">
        <v>24</v>
      </c>
      <c r="AK12" t="s">
        <v>43</v>
      </c>
      <c r="AP12" t="s">
        <v>24</v>
      </c>
      <c r="AS12" t="s">
        <v>28</v>
      </c>
      <c r="AT12" t="s">
        <v>32</v>
      </c>
      <c r="AU12" t="s">
        <v>33</v>
      </c>
      <c r="AV12">
        <v>0</v>
      </c>
      <c r="AW12" t="s">
        <v>28</v>
      </c>
      <c r="AX12" t="s">
        <v>26</v>
      </c>
      <c r="AY12">
        <v>1</v>
      </c>
      <c r="AZ12" t="s">
        <v>34</v>
      </c>
      <c r="BA12">
        <v>0.01</v>
      </c>
      <c r="BB12">
        <v>0.01</v>
      </c>
      <c r="BC12">
        <v>0.01</v>
      </c>
      <c r="BD12">
        <v>1</v>
      </c>
    </row>
    <row r="13" spans="1:56">
      <c r="A13" t="s">
        <v>44</v>
      </c>
      <c r="B13" s="18" t="s">
        <v>45</v>
      </c>
      <c r="C13" s="18" t="s">
        <v>46</v>
      </c>
      <c r="D13" s="47" t="s">
        <v>24</v>
      </c>
      <c r="E13" s="47">
        <v>305</v>
      </c>
      <c r="F13" t="s">
        <v>11</v>
      </c>
      <c r="Y13">
        <v>0</v>
      </c>
      <c r="AA13" t="s">
        <v>25</v>
      </c>
      <c r="AB13" t="s">
        <v>26</v>
      </c>
      <c r="AD13" t="s">
        <v>27</v>
      </c>
      <c r="AE13" t="s">
        <v>28</v>
      </c>
      <c r="AF13" t="s">
        <v>28</v>
      </c>
      <c r="AH13" t="s">
        <v>29</v>
      </c>
      <c r="AI13">
        <v>0</v>
      </c>
      <c r="AJ13" t="s">
        <v>24</v>
      </c>
      <c r="AK13" t="s">
        <v>30</v>
      </c>
      <c r="AL13" t="s">
        <v>31</v>
      </c>
      <c r="AP13" t="s">
        <v>24</v>
      </c>
      <c r="AS13" t="s">
        <v>28</v>
      </c>
      <c r="AT13" t="s">
        <v>32</v>
      </c>
      <c r="AU13" t="s">
        <v>33</v>
      </c>
      <c r="AV13">
        <v>0</v>
      </c>
      <c r="AW13" t="s">
        <v>28</v>
      </c>
      <c r="AX13" t="s">
        <v>26</v>
      </c>
      <c r="AY13">
        <v>1</v>
      </c>
      <c r="AZ13" t="s">
        <v>34</v>
      </c>
      <c r="BA13">
        <v>0.01</v>
      </c>
      <c r="BB13">
        <v>0.01</v>
      </c>
      <c r="BC13">
        <v>0.01</v>
      </c>
      <c r="BD13">
        <v>1</v>
      </c>
    </row>
    <row r="14" spans="1:56">
      <c r="A14" t="s">
        <v>47</v>
      </c>
      <c r="B14" s="18" t="s">
        <v>48</v>
      </c>
      <c r="C14" s="18" t="s">
        <v>49</v>
      </c>
      <c r="D14" s="47" t="s">
        <v>24</v>
      </c>
      <c r="E14" s="47">
        <v>313</v>
      </c>
      <c r="F14" t="s">
        <v>11</v>
      </c>
      <c r="Y14">
        <v>0</v>
      </c>
      <c r="AA14" t="s">
        <v>25</v>
      </c>
      <c r="AB14" t="s">
        <v>26</v>
      </c>
      <c r="AD14" t="s">
        <v>27</v>
      </c>
      <c r="AE14" t="s">
        <v>28</v>
      </c>
      <c r="AF14" t="s">
        <v>28</v>
      </c>
      <c r="AH14" t="s">
        <v>29</v>
      </c>
      <c r="AI14">
        <v>0</v>
      </c>
      <c r="AJ14" t="s">
        <v>24</v>
      </c>
      <c r="AK14" t="s">
        <v>30</v>
      </c>
      <c r="AL14" t="s">
        <v>31</v>
      </c>
      <c r="AP14" t="s">
        <v>24</v>
      </c>
      <c r="AS14" t="s">
        <v>28</v>
      </c>
      <c r="AT14" t="s">
        <v>32</v>
      </c>
      <c r="AU14" t="s">
        <v>33</v>
      </c>
      <c r="AV14">
        <v>0</v>
      </c>
      <c r="AW14" t="s">
        <v>28</v>
      </c>
      <c r="AX14" t="s">
        <v>26</v>
      </c>
      <c r="AY14">
        <v>1</v>
      </c>
      <c r="AZ14" t="s">
        <v>34</v>
      </c>
      <c r="BA14">
        <v>0.01</v>
      </c>
      <c r="BB14">
        <v>0.01</v>
      </c>
      <c r="BC14">
        <v>0.01</v>
      </c>
      <c r="BD14">
        <v>1</v>
      </c>
    </row>
    <row r="15" spans="1:56">
      <c r="A15" t="s">
        <v>50</v>
      </c>
      <c r="B15" t="s">
        <v>51</v>
      </c>
      <c r="C15" t="s">
        <v>52</v>
      </c>
      <c r="E15" s="47">
        <v>638</v>
      </c>
      <c r="F15" t="s">
        <v>11</v>
      </c>
    </row>
    <row r="16" spans="1:56">
      <c r="A16" t="s">
        <v>53</v>
      </c>
      <c r="B16" t="s">
        <v>54</v>
      </c>
      <c r="C16" t="s">
        <v>46</v>
      </c>
      <c r="E16" s="47">
        <v>974</v>
      </c>
      <c r="F16" t="s">
        <v>11</v>
      </c>
    </row>
    <row r="17" spans="1:10">
      <c r="A17" t="s">
        <v>55</v>
      </c>
      <c r="B17" t="s">
        <v>56</v>
      </c>
      <c r="C17" t="s">
        <v>49</v>
      </c>
      <c r="E17" s="47">
        <v>1756</v>
      </c>
      <c r="F17" t="s">
        <v>11</v>
      </c>
    </row>
    <row r="18" spans="1:10">
      <c r="A18" t="s">
        <v>57</v>
      </c>
      <c r="B18" t="s">
        <v>58</v>
      </c>
      <c r="C18" t="s">
        <v>59</v>
      </c>
      <c r="E18" s="47">
        <v>78</v>
      </c>
      <c r="F18" t="s">
        <v>11</v>
      </c>
    </row>
    <row r="19" spans="1:10">
      <c r="A19" t="s">
        <v>60</v>
      </c>
      <c r="B19" t="s">
        <v>61</v>
      </c>
      <c r="C19" t="s">
        <v>7</v>
      </c>
      <c r="E19" s="47">
        <v>135</v>
      </c>
      <c r="F19" t="s">
        <v>11</v>
      </c>
    </row>
    <row r="20" spans="1:10">
      <c r="A20" t="s">
        <v>62</v>
      </c>
      <c r="B20" t="s">
        <v>63</v>
      </c>
      <c r="C20" t="s">
        <v>7</v>
      </c>
      <c r="E20" s="47">
        <v>69.3</v>
      </c>
      <c r="F20" t="s">
        <v>11</v>
      </c>
    </row>
    <row r="21" spans="1:10">
      <c r="A21" t="s">
        <v>64</v>
      </c>
      <c r="B21" t="s">
        <v>65</v>
      </c>
      <c r="C21" t="s">
        <v>66</v>
      </c>
      <c r="D21" t="s">
        <v>67</v>
      </c>
      <c r="E21" s="47">
        <v>670</v>
      </c>
      <c r="F21" t="s">
        <v>11</v>
      </c>
    </row>
    <row r="22" spans="1:10">
      <c r="B22" t="s">
        <v>68</v>
      </c>
      <c r="E22" s="47">
        <v>540</v>
      </c>
    </row>
    <row r="23" spans="1:10">
      <c r="A23" t="s">
        <v>69</v>
      </c>
      <c r="B23" t="s">
        <v>70</v>
      </c>
      <c r="C23" t="s">
        <v>66</v>
      </c>
      <c r="D23" t="s">
        <v>67</v>
      </c>
      <c r="E23" s="47">
        <v>4292.53</v>
      </c>
      <c r="F23" t="s">
        <v>11</v>
      </c>
    </row>
    <row r="24" spans="1:10">
      <c r="B24" t="s">
        <v>71</v>
      </c>
      <c r="C24" t="s">
        <v>7</v>
      </c>
      <c r="E24" s="47"/>
    </row>
    <row r="25" spans="1:10">
      <c r="B25" t="s">
        <v>72</v>
      </c>
      <c r="C25" t="s">
        <v>7</v>
      </c>
      <c r="E25" s="47"/>
    </row>
    <row r="26" spans="1:10">
      <c r="A26" t="s">
        <v>73</v>
      </c>
      <c r="B26" t="s">
        <v>74</v>
      </c>
      <c r="D26" t="s">
        <v>10</v>
      </c>
      <c r="E26" s="38">
        <f>10460/1000</f>
        <v>10.46</v>
      </c>
      <c r="F26" t="s">
        <v>11</v>
      </c>
    </row>
    <row r="27" spans="1:10">
      <c r="A27" t="s">
        <v>75</v>
      </c>
      <c r="B27" t="s">
        <v>76</v>
      </c>
      <c r="D27" t="s">
        <v>14</v>
      </c>
      <c r="E27" s="38">
        <v>293.14</v>
      </c>
    </row>
    <row r="28" spans="1:10">
      <c r="A28" t="s">
        <v>77</v>
      </c>
      <c r="B28" t="s">
        <v>78</v>
      </c>
      <c r="E28" s="38">
        <v>19.27</v>
      </c>
    </row>
    <row r="29" spans="1:10">
      <c r="A29" t="s">
        <v>79</v>
      </c>
      <c r="B29" t="s">
        <v>80</v>
      </c>
      <c r="E29" s="38">
        <v>16.809999999999999</v>
      </c>
    </row>
    <row r="30" spans="1:10">
      <c r="A30" t="s">
        <v>81</v>
      </c>
      <c r="B30" t="s">
        <v>82</v>
      </c>
      <c r="E30" s="38">
        <v>1107.48</v>
      </c>
    </row>
    <row r="31" spans="1:10">
      <c r="A31" t="s">
        <v>83</v>
      </c>
      <c r="B31" t="s">
        <v>84</v>
      </c>
      <c r="E31" s="38">
        <v>916.63</v>
      </c>
    </row>
    <row r="32" spans="1:10">
      <c r="A32" t="s">
        <v>85</v>
      </c>
      <c r="B32" t="s">
        <v>86</v>
      </c>
      <c r="E32" s="38">
        <v>1611.5</v>
      </c>
      <c r="G32" s="37"/>
      <c r="H32" s="37"/>
      <c r="I32" s="37"/>
      <c r="J32" s="37"/>
    </row>
    <row r="33" spans="1:10">
      <c r="A33" t="s">
        <v>87</v>
      </c>
      <c r="B33" t="s">
        <v>88</v>
      </c>
      <c r="E33" s="38">
        <v>241.47</v>
      </c>
      <c r="I33" s="37"/>
      <c r="J33" s="37"/>
    </row>
    <row r="34" spans="1:10">
      <c r="A34" t="s">
        <v>89</v>
      </c>
      <c r="B34" t="s">
        <v>90</v>
      </c>
      <c r="E34" s="38">
        <v>8051.21</v>
      </c>
      <c r="H34" s="37"/>
      <c r="J34" s="37"/>
    </row>
    <row r="35" spans="1:10">
      <c r="A35" t="s">
        <v>91</v>
      </c>
      <c r="B35" t="s">
        <v>92</v>
      </c>
      <c r="E35" s="38">
        <v>8984.9699999999993</v>
      </c>
      <c r="H35" s="37"/>
      <c r="J35" s="37"/>
    </row>
    <row r="36" spans="1:10">
      <c r="A36" t="s">
        <v>15</v>
      </c>
      <c r="B36" t="s">
        <v>16</v>
      </c>
      <c r="E36" s="38">
        <v>18050</v>
      </c>
      <c r="H36" s="37"/>
      <c r="J36" s="37"/>
    </row>
    <row r="37" spans="1:10">
      <c r="A37" t="s">
        <v>93</v>
      </c>
      <c r="B37" t="s">
        <v>94</v>
      </c>
      <c r="E37" s="38">
        <v>37.93</v>
      </c>
      <c r="H37" s="37"/>
      <c r="J37" s="37"/>
    </row>
    <row r="38" spans="1:10">
      <c r="A38" t="s">
        <v>95</v>
      </c>
      <c r="B38" t="s">
        <v>96</v>
      </c>
      <c r="E38" s="38">
        <v>7203.88</v>
      </c>
    </row>
    <row r="39" spans="1:10">
      <c r="A39" t="s">
        <v>97</v>
      </c>
      <c r="B39" t="s">
        <v>98</v>
      </c>
      <c r="E39" s="11">
        <v>11919</v>
      </c>
      <c r="F39" s="37"/>
      <c r="G39" s="37"/>
      <c r="J39" s="37"/>
    </row>
    <row r="40" spans="1:10">
      <c r="G40" s="37"/>
      <c r="J40" s="37"/>
    </row>
    <row r="42" spans="1:10">
      <c r="G42" s="37"/>
      <c r="J42" s="37"/>
    </row>
    <row r="43" spans="1:10">
      <c r="G43" s="37"/>
      <c r="J43" s="37"/>
    </row>
    <row r="44" spans="1:10">
      <c r="G44" s="37"/>
      <c r="J44" s="37"/>
    </row>
    <row r="46" spans="1:10">
      <c r="I46" s="37"/>
      <c r="J46" s="37"/>
    </row>
    <row r="47" spans="1:10">
      <c r="H47" s="37"/>
      <c r="J47" s="37"/>
    </row>
    <row r="48" spans="1:10">
      <c r="F48" s="37"/>
      <c r="G48" s="37"/>
      <c r="J48" s="37"/>
    </row>
    <row r="49" spans="6:10">
      <c r="F49" s="37"/>
      <c r="G49" s="37"/>
      <c r="J49" s="37"/>
    </row>
    <row r="51" spans="6:10">
      <c r="F51" s="37"/>
      <c r="G51" s="37"/>
      <c r="J51" s="37"/>
    </row>
    <row r="52" spans="6:10">
      <c r="G52" s="37"/>
      <c r="J52" s="37"/>
    </row>
    <row r="53" spans="6:10">
      <c r="I53" s="37"/>
      <c r="J53" s="37"/>
    </row>
    <row r="54" spans="6:10">
      <c r="H54" s="37"/>
      <c r="J54" s="37"/>
    </row>
    <row r="61" spans="6:10">
      <c r="G61" s="37"/>
      <c r="H61" s="37"/>
      <c r="I61" s="37"/>
      <c r="J61" s="37"/>
    </row>
    <row r="62" spans="6:10">
      <c r="I62" s="37"/>
      <c r="J62" s="37"/>
    </row>
    <row r="63" spans="6:10">
      <c r="H63" s="37"/>
      <c r="J63" s="37"/>
    </row>
    <row r="65" spans="6:10">
      <c r="F65" s="37"/>
      <c r="G65" s="37"/>
      <c r="J65" s="37"/>
    </row>
    <row r="66" spans="6:10">
      <c r="G66" s="37"/>
      <c r="J66" s="37"/>
    </row>
    <row r="68" spans="6:10">
      <c r="G68" s="37"/>
      <c r="J68" s="37"/>
    </row>
    <row r="69" spans="6:10">
      <c r="G69" s="37"/>
      <c r="J69" s="37"/>
    </row>
    <row r="70" spans="6:10">
      <c r="G70" s="37"/>
      <c r="J70" s="37"/>
    </row>
    <row r="72" spans="6:10">
      <c r="I72" s="37"/>
      <c r="J72" s="37"/>
    </row>
    <row r="74" spans="6:10">
      <c r="F74" s="37"/>
      <c r="G74" s="37"/>
      <c r="J74" s="37"/>
    </row>
    <row r="75" spans="6:10">
      <c r="F75" s="37"/>
      <c r="G75" s="37"/>
      <c r="J75" s="37"/>
    </row>
    <row r="76" spans="6:10">
      <c r="F76" s="37"/>
      <c r="G76" s="37"/>
      <c r="J76" s="37"/>
    </row>
    <row r="80" spans="6:10">
      <c r="G80" s="37"/>
      <c r="H80" s="37"/>
      <c r="I80" s="37"/>
      <c r="J80" s="37"/>
    </row>
    <row r="81" spans="6:10">
      <c r="I81" s="37"/>
      <c r="J81" s="37"/>
    </row>
    <row r="82" spans="6:10">
      <c r="H82" s="37"/>
      <c r="J82" s="37"/>
    </row>
    <row r="84" spans="6:10">
      <c r="F84" s="37"/>
      <c r="G84" s="37"/>
      <c r="J84" s="37"/>
    </row>
    <row r="85" spans="6:10">
      <c r="G85" s="37"/>
      <c r="J85" s="37"/>
    </row>
    <row r="87" spans="6:10">
      <c r="G87" s="37"/>
      <c r="J87" s="37"/>
    </row>
    <row r="88" spans="6:10">
      <c r="G88" s="37"/>
      <c r="J88" s="37"/>
    </row>
    <row r="89" spans="6:10">
      <c r="G89" s="37"/>
      <c r="J89" s="37"/>
    </row>
    <row r="91" spans="6:10">
      <c r="I91" s="37"/>
      <c r="J91" s="37"/>
    </row>
    <row r="93" spans="6:10">
      <c r="F93" s="37"/>
      <c r="G93" s="37"/>
      <c r="J93" s="37"/>
    </row>
    <row r="94" spans="6:10">
      <c r="F94" s="37"/>
      <c r="G94" s="37"/>
      <c r="J94" s="37"/>
    </row>
    <row r="95" spans="6:10">
      <c r="F95" s="37"/>
      <c r="G95" s="37"/>
      <c r="J95" s="37"/>
    </row>
    <row r="97" spans="6:6">
      <c r="F97" s="37"/>
    </row>
    <row r="99" spans="6:6">
      <c r="F99" s="18"/>
    </row>
    <row r="100" spans="6:6">
      <c r="F100" s="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EDC73-5147-4C6D-8C2C-8815DF79D29F}">
  <dimension ref="A1:V103"/>
  <sheetViews>
    <sheetView tabSelected="1" workbookViewId="0">
      <pane ySplit="1" topLeftCell="H2" activePane="bottomLeft" state="frozen"/>
      <selection pane="bottomLeft" activeCell="J13" sqref="J13"/>
    </sheetView>
  </sheetViews>
  <sheetFormatPr defaultColWidth="9.140625" defaultRowHeight="15"/>
  <cols>
    <col min="1" max="1" width="23.5703125" bestFit="1" customWidth="1"/>
    <col min="2" max="2" width="93.28515625" bestFit="1" customWidth="1"/>
    <col min="3" max="6" width="36.5703125" bestFit="1" customWidth="1"/>
    <col min="7" max="7" width="31.5703125" bestFit="1" customWidth="1"/>
    <col min="8" max="8" width="36.5703125" bestFit="1" customWidth="1"/>
    <col min="9" max="9" width="16.7109375" customWidth="1"/>
    <col min="10" max="10" width="26.5703125" bestFit="1" customWidth="1"/>
    <col min="11" max="11" width="23.85546875" bestFit="1" customWidth="1"/>
    <col min="12" max="12" width="36.5703125" bestFit="1" customWidth="1"/>
    <col min="13" max="13" width="16.42578125" bestFit="1" customWidth="1"/>
    <col min="14" max="14" width="44.7109375" bestFit="1" customWidth="1"/>
    <col min="15" max="15" width="7.85546875" bestFit="1" customWidth="1"/>
    <col min="16" max="16" width="16.140625" bestFit="1" customWidth="1"/>
    <col min="17" max="17" width="10.7109375" bestFit="1" customWidth="1"/>
    <col min="18" max="19" width="15" bestFit="1" customWidth="1"/>
    <col min="21" max="21" width="19" customWidth="1"/>
    <col min="22" max="22" width="14.5703125" bestFit="1" customWidth="1"/>
  </cols>
  <sheetData>
    <row r="1" spans="1:22">
      <c r="A1" s="7" t="s">
        <v>99</v>
      </c>
      <c r="B1" s="7" t="s">
        <v>100</v>
      </c>
      <c r="C1" s="7" t="s">
        <v>101</v>
      </c>
      <c r="D1" s="7" t="s">
        <v>102</v>
      </c>
      <c r="E1" s="7" t="s">
        <v>103</v>
      </c>
      <c r="F1" s="7" t="s">
        <v>104</v>
      </c>
      <c r="G1" s="7" t="s">
        <v>105</v>
      </c>
      <c r="H1" s="7" t="s">
        <v>106</v>
      </c>
      <c r="I1" s="7" t="s">
        <v>107</v>
      </c>
      <c r="J1" s="7" t="s">
        <v>108</v>
      </c>
      <c r="K1" s="7" t="s">
        <v>109</v>
      </c>
      <c r="L1" s="7" t="s">
        <v>110</v>
      </c>
      <c r="M1" s="7" t="s">
        <v>111</v>
      </c>
      <c r="N1" s="7" t="s">
        <v>112</v>
      </c>
      <c r="O1" s="7" t="s">
        <v>113</v>
      </c>
      <c r="P1" s="7" t="s">
        <v>114</v>
      </c>
      <c r="Q1" s="7" t="s">
        <v>115</v>
      </c>
      <c r="R1" s="7" t="s">
        <v>116</v>
      </c>
      <c r="S1" s="7" t="s">
        <v>117</v>
      </c>
      <c r="T1" s="6"/>
      <c r="U1" s="7" t="s">
        <v>118</v>
      </c>
      <c r="V1" s="7" t="s">
        <v>119</v>
      </c>
    </row>
    <row r="2" spans="1:22">
      <c r="A2" s="6"/>
      <c r="B2" s="6" t="s">
        <v>120</v>
      </c>
      <c r="C2" s="6">
        <v>3017000</v>
      </c>
      <c r="D2" s="12">
        <v>8</v>
      </c>
      <c r="E2" s="8">
        <f>D2*'Costos Insumos'!$E$4</f>
        <v>20149.439999999999</v>
      </c>
      <c r="F2" s="67">
        <f>828200/2</f>
        <v>414100</v>
      </c>
      <c r="G2" s="13">
        <f>(F2*$G$3)/$F$3</f>
        <v>0.46554243957279373</v>
      </c>
      <c r="H2" s="11">
        <f>'Costos Insumos'!$E$5*G2</f>
        <v>8403.0410342889263</v>
      </c>
      <c r="I2" s="19">
        <f t="shared" ref="I2:I3" si="0">(G2*1000)*2.5%</f>
        <v>11.638560989319844</v>
      </c>
      <c r="J2" s="9">
        <f>((G2*1000)*2.5%)*'Costos Insumos'!$E$2</f>
        <v>442.26531759415406</v>
      </c>
      <c r="K2" s="9">
        <v>2000</v>
      </c>
      <c r="L2" s="9">
        <v>114.35</v>
      </c>
      <c r="M2" s="9"/>
      <c r="N2" s="9">
        <v>27517.17094</v>
      </c>
      <c r="O2" s="49">
        <v>0.67</v>
      </c>
      <c r="P2" s="50">
        <f>N2/(1-O2)</f>
        <v>83385.366484848491</v>
      </c>
      <c r="Q2" s="51">
        <v>0.4</v>
      </c>
      <c r="R2" s="9">
        <f>P2/(1-Q2)</f>
        <v>138975.61080808082</v>
      </c>
      <c r="S2" s="9">
        <f>(P2/0.75)*1.19</f>
        <v>132304.78148929295</v>
      </c>
      <c r="T2" s="6"/>
      <c r="U2" s="52"/>
      <c r="V2" s="6"/>
    </row>
    <row r="3" spans="1:22">
      <c r="A3" s="22"/>
      <c r="B3" s="22" t="s">
        <v>121</v>
      </c>
      <c r="C3" s="22">
        <v>2270000</v>
      </c>
      <c r="D3" s="61">
        <v>6.2</v>
      </c>
      <c r="E3" s="62">
        <f>D3*'Costos Insumos'!$E$4</f>
        <v>15615.815999999999</v>
      </c>
      <c r="F3" s="42">
        <v>355800</v>
      </c>
      <c r="G3" s="43">
        <f>400/1000</f>
        <v>0.4</v>
      </c>
      <c r="H3" s="11">
        <f>'Costos Insumos'!$E$5*G3</f>
        <v>7220</v>
      </c>
      <c r="I3" s="19">
        <f t="shared" si="0"/>
        <v>10</v>
      </c>
      <c r="J3" s="9">
        <f>((G3*1000)*2.5%)*'Costos Insumos'!$E$2</f>
        <v>380</v>
      </c>
      <c r="K3" s="9">
        <v>2100</v>
      </c>
      <c r="L3" s="9">
        <v>114.35</v>
      </c>
      <c r="M3" s="9"/>
      <c r="N3" s="9">
        <v>27517.17094</v>
      </c>
      <c r="O3" s="49">
        <v>0.81799999999999995</v>
      </c>
      <c r="P3" s="50">
        <f>N3/(1-O3)</f>
        <v>151193.24692307689</v>
      </c>
      <c r="Q3" s="51">
        <v>0.4</v>
      </c>
      <c r="R3" s="9">
        <f>P3/(1-Q3)</f>
        <v>251988.74487179483</v>
      </c>
      <c r="S3" s="9">
        <f>(P3/0.75)*1.19</f>
        <v>239893.28511794863</v>
      </c>
      <c r="T3" s="6"/>
      <c r="U3" s="6"/>
      <c r="V3" s="6"/>
    </row>
    <row r="4" spans="1:22">
      <c r="A4" s="6"/>
      <c r="B4" s="6" t="s">
        <v>122</v>
      </c>
      <c r="C4" s="6">
        <f>1439000</f>
        <v>1439000</v>
      </c>
      <c r="D4" s="12">
        <f>(C4*$D$3)/$C$3</f>
        <v>3.9303083700440529</v>
      </c>
      <c r="E4" s="10">
        <f>D4*'Costos Insumos'!$E$4</f>
        <v>9899.1890854625544</v>
      </c>
      <c r="F4" s="16">
        <v>257700</v>
      </c>
      <c r="G4" s="13">
        <f>(F4*$G$3)/$F$3</f>
        <v>0.28971332209106238</v>
      </c>
      <c r="H4" s="11">
        <f>'Costos Insumos'!$E$5*G4</f>
        <v>5229.3254637436758</v>
      </c>
      <c r="I4" s="19">
        <f>(G4*1000)*2.5%</f>
        <v>7.2428330522765592</v>
      </c>
      <c r="J4" s="11">
        <f>((G4*1000)*2.5%)*'Costos Insumos'!$E$2</f>
        <v>275.22765598650926</v>
      </c>
      <c r="K4" s="9">
        <f>('Costos Insumos'!$E$8/3)+(67*4)</f>
        <v>2313</v>
      </c>
      <c r="L4" s="11">
        <v>119.08</v>
      </c>
      <c r="M4" s="11"/>
      <c r="N4" s="11">
        <f>E4+H4+K4+L4</f>
        <v>17560.594549206231</v>
      </c>
      <c r="O4" s="49">
        <v>0.75</v>
      </c>
      <c r="P4" s="50">
        <f>N4/(1-O4)</f>
        <v>70242.378196824924</v>
      </c>
      <c r="Q4" s="51">
        <v>0.4</v>
      </c>
      <c r="R4" s="9">
        <f>P4/(1-Q4)</f>
        <v>117070.63032804154</v>
      </c>
      <c r="S4" s="9">
        <f>(P4/0.75)*1.19</f>
        <v>111451.24007229554</v>
      </c>
      <c r="T4" s="6"/>
      <c r="U4" s="6">
        <v>4.3099999999999996</v>
      </c>
      <c r="V4" s="6">
        <v>4.38</v>
      </c>
    </row>
    <row r="5" spans="1:22">
      <c r="A5" s="65"/>
      <c r="B5" s="22" t="s">
        <v>123</v>
      </c>
      <c r="C5" s="22">
        <f>1439000</f>
        <v>1439000</v>
      </c>
      <c r="D5" s="61">
        <v>4</v>
      </c>
      <c r="E5" s="62">
        <f>D5*'Costos Insumos'!$E$4</f>
        <v>10074.719999999999</v>
      </c>
      <c r="F5" s="42">
        <v>257700</v>
      </c>
      <c r="G5" s="43">
        <v>0.4</v>
      </c>
      <c r="H5" s="11">
        <f>'Costos Insumos'!$E$5*G5</f>
        <v>7220</v>
      </c>
      <c r="I5" s="19">
        <f>(G5*1000)*2.5%</f>
        <v>10</v>
      </c>
      <c r="J5" s="11">
        <f>((G5*1000)*2.5%)*'Costos Insumos'!$E$2</f>
        <v>380</v>
      </c>
      <c r="K5" s="9">
        <f>('Costos Insumos'!$E$8/3)+(67*4)</f>
        <v>2313</v>
      </c>
      <c r="L5" s="11">
        <v>119.08</v>
      </c>
      <c r="M5" s="11"/>
      <c r="N5" s="11">
        <f>E5+H5+K5+L5</f>
        <v>19726.800000000003</v>
      </c>
      <c r="O5" s="49">
        <v>0.75</v>
      </c>
      <c r="P5" s="50">
        <f>N5/(1-O5)</f>
        <v>78907.200000000012</v>
      </c>
      <c r="Q5" s="51">
        <v>0.4</v>
      </c>
      <c r="R5" s="9">
        <f>P5/(1-Q5)</f>
        <v>131512.00000000003</v>
      </c>
      <c r="S5" s="9">
        <f>(P5/0.75)*1.19</f>
        <v>125199.42400000001</v>
      </c>
      <c r="T5" s="6"/>
      <c r="U5" s="6">
        <v>4.3099999999999996</v>
      </c>
      <c r="V5" s="6">
        <v>4.38</v>
      </c>
    </row>
    <row r="6" spans="1:22">
      <c r="A6" s="6"/>
      <c r="B6" s="6" t="s">
        <v>124</v>
      </c>
      <c r="C6" s="6">
        <v>1928000</v>
      </c>
      <c r="D6" s="12">
        <f>(C6*$D$3)/$C$3</f>
        <v>5.2659030837004401</v>
      </c>
      <c r="E6" s="8">
        <f>D6*'Costos Insumos'!$E$4</f>
        <v>13263.124778854624</v>
      </c>
      <c r="F6" s="16">
        <v>279000</v>
      </c>
      <c r="G6" s="13">
        <f>(F6*$G$3)/$F$3</f>
        <v>0.31365935919055649</v>
      </c>
      <c r="H6" s="11">
        <f>'Costos Insumos'!$E$5*G6</f>
        <v>5661.5514333895444</v>
      </c>
      <c r="I6" s="19">
        <f>(G6*1000)*2.5%</f>
        <v>7.841483979763912</v>
      </c>
      <c r="J6" s="9">
        <f>((G6*1000)*2.5%)*'Costos Insumos'!$E$2</f>
        <v>297.97639123102863</v>
      </c>
      <c r="K6" s="9">
        <f>('Costos Insumos'!$E$8/3)+(67*4)+3152</f>
        <v>5465</v>
      </c>
      <c r="L6" s="9">
        <v>119.08</v>
      </c>
      <c r="M6" s="9"/>
      <c r="N6" s="11">
        <f t="shared" ref="N6:N25" si="1">E6+H6+K6+L6</f>
        <v>24508.75621224417</v>
      </c>
      <c r="O6" s="49">
        <v>0.75</v>
      </c>
      <c r="P6" s="50">
        <f t="shared" ref="P6:P8" si="2">N6/(1-O6)</f>
        <v>98035.024848976682</v>
      </c>
      <c r="Q6" s="51">
        <v>0.4</v>
      </c>
      <c r="R6" s="9">
        <f t="shared" ref="R6:R8" si="3">P6/(1-Q6)</f>
        <v>163391.70808162782</v>
      </c>
      <c r="S6" s="9">
        <f t="shared" ref="S6:S8" si="4">(P6/0.75)*1.19</f>
        <v>155548.90609370967</v>
      </c>
      <c r="T6" s="6"/>
      <c r="U6" s="6"/>
      <c r="V6" s="6"/>
    </row>
    <row r="7" spans="1:22">
      <c r="A7" s="22"/>
      <c r="B7" s="22" t="s">
        <v>125</v>
      </c>
      <c r="C7" s="22">
        <v>1928000</v>
      </c>
      <c r="D7" s="61">
        <v>6</v>
      </c>
      <c r="E7" s="62">
        <f>D7*'Costos Insumos'!$E$4</f>
        <v>15112.079999999998</v>
      </c>
      <c r="F7" s="42">
        <v>279000</v>
      </c>
      <c r="G7" s="43">
        <v>0.46</v>
      </c>
      <c r="H7" s="11">
        <f>'Costos Insumos'!$E$5*G7</f>
        <v>8303</v>
      </c>
      <c r="I7" s="19">
        <f>(G7*1000)*2.5%</f>
        <v>11.5</v>
      </c>
      <c r="J7" s="9">
        <f>((G7*1000)*2.5%)*'Costos Insumos'!$E$2</f>
        <v>437</v>
      </c>
      <c r="K7" s="9">
        <f>('Costos Insumos'!$E$8/3)+(67*4)+3152</f>
        <v>5465</v>
      </c>
      <c r="L7" s="9">
        <v>119.08</v>
      </c>
      <c r="M7" s="9"/>
      <c r="N7" s="11">
        <f t="shared" si="1"/>
        <v>28999.16</v>
      </c>
      <c r="O7" s="49">
        <v>0.75</v>
      </c>
      <c r="P7" s="50">
        <f t="shared" ref="P7" si="5">N7/(1-O7)</f>
        <v>115996.64</v>
      </c>
      <c r="Q7" s="51">
        <v>0.4</v>
      </c>
      <c r="R7" s="9">
        <f t="shared" ref="R7" si="6">P7/(1-Q7)</f>
        <v>193327.73333333334</v>
      </c>
      <c r="S7" s="9">
        <f>(P7/0.75)*1.19</f>
        <v>184048.00213333333</v>
      </c>
      <c r="T7" s="6"/>
      <c r="U7" s="6"/>
      <c r="V7" s="6"/>
    </row>
    <row r="8" spans="1:22">
      <c r="A8" s="6"/>
      <c r="B8" s="6" t="s">
        <v>126</v>
      </c>
      <c r="C8" s="6">
        <v>1519000</v>
      </c>
      <c r="D8" s="12">
        <f>(C8*$D$3)/$C$3</f>
        <v>4.1488105726872249</v>
      </c>
      <c r="E8" s="8">
        <f>D8*'Costos Insumos'!$E$4</f>
        <v>10449.526213215859</v>
      </c>
      <c r="F8" s="16">
        <v>238200</v>
      </c>
      <c r="G8" s="13">
        <f>(F8*$G$3)/$F$3</f>
        <v>0.26779089376053961</v>
      </c>
      <c r="H8" s="11">
        <f>'Costos Insumos'!$E$5*G8</f>
        <v>4833.6256323777397</v>
      </c>
      <c r="I8" s="19">
        <f>(G8*1000)*2.5%</f>
        <v>6.694772344013491</v>
      </c>
      <c r="J8" s="9">
        <f>((G8*1000)*2.5%)*'Costos Insumos'!$E$2</f>
        <v>254.40134907251266</v>
      </c>
      <c r="K8" s="9">
        <f>('Costos Insumos'!$E$8/3)+(67*4)</f>
        <v>2313</v>
      </c>
      <c r="L8" s="9">
        <v>119.08</v>
      </c>
      <c r="M8" s="9"/>
      <c r="N8" s="11">
        <f t="shared" si="1"/>
        <v>17715.2318455936</v>
      </c>
      <c r="O8" s="49">
        <v>0.8</v>
      </c>
      <c r="P8" s="50">
        <f t="shared" si="2"/>
        <v>88576.159227968019</v>
      </c>
      <c r="Q8" s="51">
        <v>0.4</v>
      </c>
      <c r="R8" s="9">
        <f t="shared" si="3"/>
        <v>147626.93204661336</v>
      </c>
      <c r="S8" s="9">
        <f t="shared" si="4"/>
        <v>140540.83930837593</v>
      </c>
      <c r="T8" s="6"/>
      <c r="U8" s="13">
        <f>(U4*D4)/D8</f>
        <v>4.0830085582620139</v>
      </c>
      <c r="V8" s="13">
        <f>(U8*V4)/U4</f>
        <v>4.1493219223173137</v>
      </c>
    </row>
    <row r="9" spans="1:22">
      <c r="A9" s="22"/>
      <c r="B9" s="22" t="s">
        <v>127</v>
      </c>
      <c r="C9" s="22">
        <v>1850000</v>
      </c>
      <c r="D9" s="61">
        <v>4</v>
      </c>
      <c r="E9" s="62">
        <f>D9*'Costos Insumos'!$E$4</f>
        <v>10074.719999999999</v>
      </c>
      <c r="F9" s="42">
        <v>238200</v>
      </c>
      <c r="G9" s="43">
        <v>0.37</v>
      </c>
      <c r="H9" s="11">
        <f>'Costos Insumos'!$E$5*G9</f>
        <v>6678.5</v>
      </c>
      <c r="I9" s="19">
        <f t="shared" ref="I9" si="7">(G9*1000)*2.5%</f>
        <v>9.25</v>
      </c>
      <c r="J9" s="9">
        <f>((G9*1000)*2.5%)*'Costos Insumos'!$E$2</f>
        <v>351.5</v>
      </c>
      <c r="K9" s="9">
        <f>('Costos Insumos'!$E$8/3)+(67*4)</f>
        <v>2313</v>
      </c>
      <c r="L9" s="9">
        <v>119.08</v>
      </c>
      <c r="M9" s="9"/>
      <c r="N9" s="11">
        <f t="shared" si="1"/>
        <v>19185.300000000003</v>
      </c>
      <c r="O9" s="49">
        <v>0.8</v>
      </c>
      <c r="P9" s="50">
        <f t="shared" ref="P9" si="8">N9/(1-O9)</f>
        <v>95926.500000000029</v>
      </c>
      <c r="Q9" s="51">
        <v>0.4</v>
      </c>
      <c r="R9" s="9">
        <f t="shared" ref="R9" si="9">P9/(1-Q9)</f>
        <v>159877.50000000006</v>
      </c>
      <c r="S9" s="9">
        <f t="shared" ref="S9" si="10">(P9/0.75)*1.19</f>
        <v>152203.38000000003</v>
      </c>
      <c r="T9" s="6"/>
      <c r="U9" s="13"/>
      <c r="V9" s="13"/>
    </row>
    <row r="10" spans="1:22">
      <c r="A10" s="6"/>
      <c r="B10" s="6" t="s">
        <v>128</v>
      </c>
      <c r="C10" s="6">
        <v>228300</v>
      </c>
      <c r="D10" s="12">
        <f>(C10*$D$3)/$C$3</f>
        <v>0.62355066079295152</v>
      </c>
      <c r="E10" s="8">
        <f>D10*'Costos Insumos'!$E$4</f>
        <v>1570.5245783259911</v>
      </c>
      <c r="F10" s="16">
        <v>48168.2</v>
      </c>
      <c r="G10" s="13">
        <f>(F10*$G$3)/$F$3</f>
        <v>5.4151995503091618E-2</v>
      </c>
      <c r="H10" s="11">
        <f>'Costos Insumos'!$E$5*G10</f>
        <v>977.44351883080367</v>
      </c>
      <c r="I10" s="19">
        <f t="shared" ref="I10" si="11">(G10*1000)*2.5%</f>
        <v>1.3537998875772905</v>
      </c>
      <c r="J10" s="9">
        <f>((G10*1000)*2.5%)*'Costos Insumos'!$E$2</f>
        <v>51.444395727937042</v>
      </c>
      <c r="K10" s="9">
        <v>0</v>
      </c>
      <c r="L10" s="9">
        <v>0</v>
      </c>
      <c r="M10" s="9"/>
      <c r="N10" s="11">
        <f t="shared" si="1"/>
        <v>2547.968097156795</v>
      </c>
      <c r="O10" s="49">
        <v>0.8</v>
      </c>
      <c r="P10" s="50">
        <f t="shared" ref="P10" si="12">N10/(1-O10)</f>
        <v>12739.840485783978</v>
      </c>
      <c r="Q10" s="51">
        <v>0.4</v>
      </c>
      <c r="R10" s="9">
        <f t="shared" ref="R10" si="13">P10/(1-Q10)</f>
        <v>21233.067476306631</v>
      </c>
      <c r="S10" s="9">
        <f t="shared" ref="S10" si="14">(P10/0.75)*1.19</f>
        <v>20213.880237443907</v>
      </c>
      <c r="T10" s="6"/>
      <c r="U10" s="13">
        <f>(U5*D5)/D10</f>
        <v>27.648114393907278</v>
      </c>
      <c r="V10" s="13">
        <f>(U10*V5)/U5</f>
        <v>28.097155694968418</v>
      </c>
    </row>
    <row r="11" spans="1:22">
      <c r="A11" s="6"/>
      <c r="B11" s="6" t="s">
        <v>129</v>
      </c>
      <c r="C11" s="6">
        <v>228300</v>
      </c>
      <c r="D11" s="12">
        <f>(C11*$D$3)/$C$3</f>
        <v>0.62355066079295152</v>
      </c>
      <c r="E11" s="8">
        <f>D11*'Costos Insumos'!$E$4</f>
        <v>1570.5245783259911</v>
      </c>
      <c r="F11" s="16">
        <v>48168.2</v>
      </c>
      <c r="G11" s="13">
        <f>(F11*$G$3)/$F$3</f>
        <v>5.4151995503091618E-2</v>
      </c>
      <c r="H11" s="11">
        <f>'Costos Insumos'!$E$5*G11</f>
        <v>977.44351883080367</v>
      </c>
      <c r="I11" s="19">
        <f t="shared" ref="I11" si="15">(G11*1000)*2.5%</f>
        <v>1.3537998875772905</v>
      </c>
      <c r="J11" s="9">
        <f>((G11*1000)*2.5%)*'Costos Insumos'!$E$2</f>
        <v>51.444395727937042</v>
      </c>
      <c r="K11" s="9">
        <v>0</v>
      </c>
      <c r="L11" s="9">
        <v>0</v>
      </c>
      <c r="M11" s="9"/>
      <c r="N11" s="11">
        <f t="shared" ref="N11" si="16">E11+H11+K11+L11</f>
        <v>2547.968097156795</v>
      </c>
      <c r="O11" s="49">
        <v>0.8</v>
      </c>
      <c r="P11" s="50">
        <f t="shared" ref="P11" si="17">N11/(1-O11)</f>
        <v>12739.840485783978</v>
      </c>
      <c r="Q11" s="51">
        <v>0.4</v>
      </c>
      <c r="R11" s="9">
        <f t="shared" ref="R11" si="18">P11/(1-Q11)</f>
        <v>21233.067476306631</v>
      </c>
      <c r="S11" s="9">
        <f t="shared" ref="S11" si="19">(P11/0.75)*1.19</f>
        <v>20213.880237443907</v>
      </c>
      <c r="T11" s="6"/>
      <c r="U11" s="13">
        <f>(U6*D6)/D11</f>
        <v>0</v>
      </c>
      <c r="V11" s="13" t="e">
        <f>(U11*V6)/U6</f>
        <v>#DIV/0!</v>
      </c>
    </row>
    <row r="12" spans="1:22">
      <c r="A12" s="6"/>
      <c r="B12" s="6" t="s">
        <v>130</v>
      </c>
      <c r="C12" s="6">
        <v>32860000</v>
      </c>
      <c r="D12" s="12">
        <f>(C12*$D$3)/$C$3</f>
        <v>89.749779735682822</v>
      </c>
      <c r="E12" s="8">
        <f>D12*'Costos Insumos'!$E$4</f>
        <v>226050.97522466959</v>
      </c>
      <c r="F12" s="16">
        <v>1705000</v>
      </c>
      <c r="G12" s="13">
        <f>(F12*$G$3)/$F$3</f>
        <v>1.9168071950534007</v>
      </c>
      <c r="H12" s="11">
        <f>'Costos Insumos'!$E$5*G12</f>
        <v>34598.369870713883</v>
      </c>
      <c r="I12" s="19">
        <f t="shared" ref="I12" si="20">(G12*1000)*2.5%</f>
        <v>47.92017987633502</v>
      </c>
      <c r="J12" s="9">
        <f>((G12*1000)*2.5%)*'Costos Insumos'!$E$2</f>
        <v>1820.9668353007307</v>
      </c>
      <c r="K12" s="9">
        <f>('Costos Insumos'!$E$8*2)+(67*4)+20000</f>
        <v>32538</v>
      </c>
      <c r="L12" s="9">
        <v>119.08</v>
      </c>
      <c r="M12" s="9"/>
      <c r="N12" s="11">
        <f t="shared" si="1"/>
        <v>293306.42509538349</v>
      </c>
      <c r="O12" s="49">
        <v>0.68</v>
      </c>
      <c r="P12" s="50">
        <f t="shared" ref="P12" si="21">N12/(1-O12)</f>
        <v>916582.57842307352</v>
      </c>
      <c r="Q12" s="51">
        <v>0.4</v>
      </c>
      <c r="R12" s="9">
        <f t="shared" ref="R12" si="22">P12/(1-Q12)</f>
        <v>1527637.6307051226</v>
      </c>
      <c r="S12" s="9">
        <f t="shared" ref="S12" si="23">(P12/0.75)*1.19</f>
        <v>1454311.0244312766</v>
      </c>
      <c r="T12" s="6"/>
      <c r="U12" s="6"/>
      <c r="V12" s="6"/>
    </row>
    <row r="13" spans="1:22">
      <c r="A13" s="6"/>
      <c r="B13" s="6" t="s">
        <v>131</v>
      </c>
      <c r="C13" s="6">
        <v>27330000</v>
      </c>
      <c r="D13" s="12">
        <f>(C13*$D$3)/$C$3</f>
        <v>74.645814977973572</v>
      </c>
      <c r="E13" s="8">
        <f>D13*'Costos Insumos'!$E$4</f>
        <v>188008.92126872245</v>
      </c>
      <c r="F13" s="16">
        <v>1427000</v>
      </c>
      <c r="G13" s="13">
        <f>(F13*$G$3)/$F$3</f>
        <v>1.6042720629567173</v>
      </c>
      <c r="H13" s="11">
        <f>'Costos Insumos'!$E$5*G13</f>
        <v>28957.110736368748</v>
      </c>
      <c r="I13" s="19">
        <f t="shared" ref="I13:I14" si="24">(G13*1000)*2.5%</f>
        <v>40.106801573917934</v>
      </c>
      <c r="J13" s="9">
        <f>((G13*1000)*2.5%)*'Costos Insumos'!$E$2</f>
        <v>1524.0584598088815</v>
      </c>
      <c r="K13" s="9">
        <f>('Costos Insumos'!$E$8*2)+(67*4)+20000</f>
        <v>32538</v>
      </c>
      <c r="L13" s="9">
        <v>119.08</v>
      </c>
      <c r="M13" s="9"/>
      <c r="N13" s="11">
        <f t="shared" si="1"/>
        <v>249623.11200509118</v>
      </c>
      <c r="O13" s="49">
        <v>0.68</v>
      </c>
      <c r="P13" s="50">
        <f t="shared" ref="P13" si="25">N13/(1-O13)</f>
        <v>780072.22501591011</v>
      </c>
      <c r="Q13" s="51">
        <v>0.4</v>
      </c>
      <c r="R13" s="9">
        <f t="shared" ref="R13" si="26">P13/(1-Q13)</f>
        <v>1300120.3750265168</v>
      </c>
      <c r="S13" s="9">
        <f t="shared" ref="S13" si="27">(P13/0.75)*1.19</f>
        <v>1237714.597025244</v>
      </c>
      <c r="T13" s="6"/>
      <c r="U13" s="6"/>
      <c r="V13" s="6"/>
    </row>
    <row r="14" spans="1:22">
      <c r="A14" s="6"/>
      <c r="B14" s="6" t="s">
        <v>132</v>
      </c>
      <c r="C14" s="6">
        <v>13310000</v>
      </c>
      <c r="D14" s="12">
        <f>(C14*$D$3)/$C$3</f>
        <v>36.353303964757707</v>
      </c>
      <c r="E14" s="10">
        <f>D14*'Costos Insumos'!$E$4</f>
        <v>91562.339629955939</v>
      </c>
      <c r="F14" s="16">
        <v>1646000</v>
      </c>
      <c r="G14" s="13">
        <f>(F14*$G$3)/$F$3</f>
        <v>1.850477796514896</v>
      </c>
      <c r="H14" s="11">
        <f>'Costos Insumos'!$E$5*G14</f>
        <v>33401.124227093875</v>
      </c>
      <c r="I14" s="19">
        <f t="shared" si="24"/>
        <v>46.261944912872401</v>
      </c>
      <c r="J14" s="11">
        <f>((G14*1000)*2.5%)*'Costos Insumos'!$E$2</f>
        <v>1757.9539066891512</v>
      </c>
      <c r="K14" s="9">
        <f>('Costos Insumos'!$E$8*2)+(67*4)+20000</f>
        <v>32538</v>
      </c>
      <c r="L14" s="9">
        <v>119.08</v>
      </c>
      <c r="M14" s="9"/>
      <c r="N14" s="11">
        <f t="shared" si="1"/>
        <v>157620.54385704981</v>
      </c>
      <c r="O14" s="49">
        <v>0.68</v>
      </c>
      <c r="P14" s="50">
        <f>N14/(1-O14)</f>
        <v>492564.19955328072</v>
      </c>
      <c r="Q14" s="51">
        <v>0.4</v>
      </c>
      <c r="R14" s="9">
        <f t="shared" ref="R14" si="28">P14/(1-Q14)</f>
        <v>820940.33258880128</v>
      </c>
      <c r="S14" s="9">
        <f t="shared" ref="S14" si="29">(P14/0.75)*1.19</f>
        <v>781535.19662453874</v>
      </c>
      <c r="T14" s="6"/>
      <c r="U14" s="6"/>
      <c r="V14" s="6"/>
    </row>
    <row r="15" spans="1:22">
      <c r="A15" s="6"/>
      <c r="B15" s="6" t="s">
        <v>133</v>
      </c>
      <c r="C15" s="6">
        <v>3416000</v>
      </c>
      <c r="D15" s="12">
        <f>(C15*$D$27)/$C$27</f>
        <v>8.2896580729276206</v>
      </c>
      <c r="E15" s="10">
        <f>D15*'Costos Insumos'!$E$4</f>
        <v>20878.995995121339</v>
      </c>
      <c r="F15" s="67">
        <v>482700</v>
      </c>
      <c r="G15" s="13">
        <f>(F15*$G$27)/$F$27</f>
        <v>0.63344429152130066</v>
      </c>
      <c r="H15" s="11">
        <f>'Costos Insumos'!$E$5*G15</f>
        <v>11433.669461959476</v>
      </c>
      <c r="I15" s="19">
        <f t="shared" ref="I15" si="30">(G15*1000)*2.5%</f>
        <v>15.836107288032517</v>
      </c>
      <c r="J15" s="11">
        <f>((G15*1000)*2.5%)*'Costos Insumos'!$E$2</f>
        <v>601.77207694523565</v>
      </c>
      <c r="K15" s="11">
        <f>('Costos Insumos'!$E$8*0.5)+(67*4)</f>
        <v>3335.5</v>
      </c>
      <c r="L15" s="11">
        <v>119.08</v>
      </c>
      <c r="M15" s="11"/>
      <c r="N15" s="11">
        <f t="shared" si="1"/>
        <v>35767.245457080819</v>
      </c>
      <c r="O15" s="49">
        <v>0.68</v>
      </c>
      <c r="P15" s="50">
        <f>N15/(1-O15)</f>
        <v>111772.64205337758</v>
      </c>
      <c r="Q15" s="51">
        <v>0.4</v>
      </c>
      <c r="R15" s="9">
        <f>P15/(1-Q15)</f>
        <v>186287.7367556293</v>
      </c>
      <c r="S15" s="9">
        <f t="shared" ref="S15" si="31">(P15/0.75)*1.19</f>
        <v>177345.92539135908</v>
      </c>
      <c r="T15" s="6"/>
      <c r="U15" s="6"/>
      <c r="V15" s="6"/>
    </row>
    <row r="16" spans="1:22">
      <c r="A16" s="22"/>
      <c r="B16" s="22" t="s">
        <v>134</v>
      </c>
      <c r="C16" s="22">
        <v>3416000</v>
      </c>
      <c r="D16" s="61">
        <v>9.5</v>
      </c>
      <c r="E16" s="62">
        <f>D16*'Costos Insumos'!$E$4</f>
        <v>23927.46</v>
      </c>
      <c r="F16" s="64">
        <v>482700</v>
      </c>
      <c r="G16" s="43">
        <v>0.6</v>
      </c>
      <c r="H16" s="11">
        <f>'Costos Insumos'!$E$5*G16</f>
        <v>10830</v>
      </c>
      <c r="I16" s="19">
        <f t="shared" ref="I16:I17" si="32">(G16*1000)*2.5%</f>
        <v>15</v>
      </c>
      <c r="J16" s="11">
        <f>((G16*1000)*2.5%)*'Costos Insumos'!$E$2</f>
        <v>570</v>
      </c>
      <c r="K16" s="11">
        <f>('Costos Insumos'!$E$8*0.5)+(67*4)</f>
        <v>3335.5</v>
      </c>
      <c r="L16" s="11">
        <v>119.08</v>
      </c>
      <c r="M16" s="11"/>
      <c r="N16" s="11">
        <f t="shared" ref="N16" si="33">E16+H16+K16+L16</f>
        <v>38212.04</v>
      </c>
      <c r="O16" s="49">
        <v>0.68</v>
      </c>
      <c r="P16" s="50">
        <f>N16/(1-O16)</f>
        <v>119412.62500000001</v>
      </c>
      <c r="Q16" s="51">
        <v>0.4</v>
      </c>
      <c r="R16" s="9">
        <f>P16/(1-Q16)</f>
        <v>199021.04166666669</v>
      </c>
      <c r="S16" s="9">
        <f t="shared" ref="S16" si="34">(P16/0.75)*1.19</f>
        <v>189468.03166666668</v>
      </c>
      <c r="T16" s="6"/>
      <c r="U16" s="6"/>
      <c r="V16" s="6"/>
    </row>
    <row r="17" spans="1:22">
      <c r="A17" s="22"/>
      <c r="B17" s="22" t="s">
        <v>135</v>
      </c>
      <c r="C17" s="22">
        <v>3131000</v>
      </c>
      <c r="D17" s="61">
        <v>8</v>
      </c>
      <c r="E17" s="62">
        <f>D17*'Costos Insumos'!$E$4</f>
        <v>20149.439999999999</v>
      </c>
      <c r="F17" s="64">
        <v>432900</v>
      </c>
      <c r="G17" s="43">
        <v>0.42</v>
      </c>
      <c r="H17" s="11">
        <f>'Costos Insumos'!$E$5*G17</f>
        <v>7581</v>
      </c>
      <c r="I17" s="19">
        <f>(G17*1000)*2.5%</f>
        <v>10.5</v>
      </c>
      <c r="J17" s="11"/>
      <c r="K17" s="11"/>
      <c r="L17" s="11"/>
      <c r="M17" s="11"/>
      <c r="N17" s="11"/>
      <c r="O17" s="49"/>
      <c r="P17" s="50"/>
      <c r="Q17" s="51"/>
      <c r="R17" s="9"/>
      <c r="S17" s="9"/>
      <c r="T17" s="6"/>
      <c r="U17" s="6"/>
      <c r="V17" s="6"/>
    </row>
    <row r="18" spans="1:22">
      <c r="A18" s="6"/>
      <c r="B18" s="6" t="s">
        <v>136</v>
      </c>
      <c r="C18" s="6">
        <v>6116000</v>
      </c>
      <c r="D18" s="12">
        <f>(C18*$D$27)/$C$27</f>
        <v>14.841788282794298</v>
      </c>
      <c r="E18" s="10">
        <f>D18*'Costos Insumos'!$E$4</f>
        <v>37381.715312108339</v>
      </c>
      <c r="F18" s="67">
        <v>806900</v>
      </c>
      <c r="G18" s="13">
        <f>(F18*$G$27)/$F$27</f>
        <v>1.0588899913580641</v>
      </c>
      <c r="H18" s="11">
        <f>'Costos Insumos'!$E$5*G18</f>
        <v>19112.964344013057</v>
      </c>
      <c r="I18" s="19">
        <f t="shared" ref="I18" si="35">(G18*1000)*2.5%</f>
        <v>26.4722497839516</v>
      </c>
      <c r="J18" s="11">
        <f>((G18*1000)*2.5%)*'Costos Insumos'!$E$2</f>
        <v>1005.9454917901608</v>
      </c>
      <c r="K18" s="11">
        <v>12000</v>
      </c>
      <c r="L18" s="11">
        <v>125</v>
      </c>
      <c r="M18" s="11"/>
      <c r="N18" s="11">
        <f t="shared" si="1"/>
        <v>68619.6796561214</v>
      </c>
      <c r="O18" s="49">
        <v>0.68</v>
      </c>
      <c r="P18" s="50">
        <f>N18/(1-O18)</f>
        <v>214436.49892537942</v>
      </c>
      <c r="Q18" s="51">
        <v>0.4</v>
      </c>
      <c r="R18" s="9">
        <f>P18/(1-Q18)</f>
        <v>357394.16487563238</v>
      </c>
      <c r="S18" s="9">
        <f t="shared" ref="S18" si="36">(P18/0.75)*1.19</f>
        <v>340239.24496160197</v>
      </c>
      <c r="T18" s="6"/>
      <c r="U18" s="6"/>
      <c r="V18" s="6"/>
    </row>
    <row r="19" spans="1:22">
      <c r="A19" s="6"/>
      <c r="B19" s="6" t="s">
        <v>137</v>
      </c>
      <c r="C19" s="6">
        <v>6596000</v>
      </c>
      <c r="D19" s="12">
        <f>(C19*$D$27)/$C$27</f>
        <v>16.006611431215042</v>
      </c>
      <c r="E19" s="10">
        <f>D19*'Costos Insumos'!$E$4</f>
        <v>40315.532079572702</v>
      </c>
      <c r="F19" s="66">
        <v>1055000</v>
      </c>
      <c r="G19" s="13">
        <f>(F19*$G$27)/$F$27</f>
        <v>1.3844701213071726</v>
      </c>
      <c r="H19" s="11">
        <f>'Costos Insumos'!$E$6*G19</f>
        <v>27865.230131549462</v>
      </c>
      <c r="I19" s="19">
        <f t="shared" ref="I19" si="37">(G19*1000)*2.5%</f>
        <v>34.611753032679317</v>
      </c>
      <c r="J19" s="11">
        <f>((G19*1000)*2.5%)*'Costos Insumos'!$E$2</f>
        <v>1315.246615241814</v>
      </c>
      <c r="K19" s="11">
        <v>12000</v>
      </c>
      <c r="L19" s="11">
        <v>125</v>
      </c>
      <c r="M19" s="11"/>
      <c r="N19" s="11">
        <f t="shared" si="1"/>
        <v>80305.762211122172</v>
      </c>
      <c r="O19" s="53">
        <v>0.68</v>
      </c>
      <c r="P19" s="54">
        <f>N19/(1-O19)</f>
        <v>250955.50690975683</v>
      </c>
      <c r="Q19" s="55">
        <v>0.4</v>
      </c>
      <c r="R19" s="40">
        <f>P19/(1-Q19)</f>
        <v>418259.17818292807</v>
      </c>
      <c r="S19" s="40">
        <f t="shared" ref="S19" si="38">(P19/0.75)*1.19</f>
        <v>398182.73763014749</v>
      </c>
      <c r="T19" s="6"/>
      <c r="U19" s="6"/>
      <c r="V19" s="6"/>
    </row>
    <row r="20" spans="1:22">
      <c r="A20" s="6" t="s">
        <v>138</v>
      </c>
      <c r="B20" s="6" t="s">
        <v>139</v>
      </c>
      <c r="C20" s="6">
        <v>6596000</v>
      </c>
      <c r="D20" s="12">
        <v>19.8</v>
      </c>
      <c r="E20" s="10">
        <f>D20*'Costos Insumos'!$E$4</f>
        <v>49869.864000000001</v>
      </c>
      <c r="F20" s="66">
        <v>1055000</v>
      </c>
      <c r="G20" s="13">
        <v>1.4</v>
      </c>
      <c r="H20" s="11">
        <f>'Costos Insumos'!$E$6*G20</f>
        <v>28177.8</v>
      </c>
      <c r="I20" s="19">
        <f>(G20*1000)*2.5%</f>
        <v>35</v>
      </c>
      <c r="J20" s="11">
        <f>((G20*1000)*2.5%)*'Costos Insumos'!$E$3</f>
        <v>1232</v>
      </c>
      <c r="K20" s="11">
        <f>('Costos Insumos'!$E$8)+('Costos Insumos'!$E$20*4)</f>
        <v>6412.2</v>
      </c>
      <c r="L20" s="11">
        <f>'Costos Insumos'!E19</f>
        <v>135</v>
      </c>
      <c r="M20" s="11">
        <f>'Costos Insumos'!$E$26*29</f>
        <v>303.34000000000003</v>
      </c>
      <c r="N20" s="11">
        <f>E20+H20+J20+K20+L20+M20</f>
        <v>86130.203999999998</v>
      </c>
      <c r="O20" s="53">
        <v>0.68</v>
      </c>
      <c r="P20" s="54">
        <f>N20/(1-O20)</f>
        <v>269156.88750000001</v>
      </c>
      <c r="Q20" s="55">
        <v>0.4</v>
      </c>
      <c r="R20" s="40">
        <f>P20/(1-Q20)</f>
        <v>448594.81250000006</v>
      </c>
      <c r="S20" s="40">
        <f t="shared" ref="S20" si="39">(P20/0.75)*1.19</f>
        <v>427062.26150000002</v>
      </c>
      <c r="T20" s="6"/>
      <c r="U20" s="6"/>
      <c r="V20" s="6"/>
    </row>
    <row r="21" spans="1:22">
      <c r="A21" s="6" t="s">
        <v>138</v>
      </c>
      <c r="B21" s="6" t="s">
        <v>140</v>
      </c>
      <c r="C21" s="6">
        <v>6802000</v>
      </c>
      <c r="D21" s="12">
        <f>(C21*$D$20)/$C$20</f>
        <v>20.418374772589448</v>
      </c>
      <c r="E21" s="10">
        <f>D21*'Costos Insumos'!$E$4</f>
        <v>51427.35217222559</v>
      </c>
      <c r="F21" s="66">
        <v>1086000</v>
      </c>
      <c r="G21" s="13">
        <f>(F21*$G$20)/$F$20</f>
        <v>1.4411374407582938</v>
      </c>
      <c r="H21" s="11">
        <f>'Costos Insumos'!$E$6*G21</f>
        <v>29005.773270142177</v>
      </c>
      <c r="I21" s="19">
        <f>(G21*1000)*2.5%</f>
        <v>36.028436018957343</v>
      </c>
      <c r="J21" s="11">
        <f>((G21*1000)*2.5%)*'Costos Insumos'!$E$3</f>
        <v>1268.2009478672985</v>
      </c>
      <c r="K21" s="11">
        <f>'Costos Insumos'!$E$8+('Costos Insumos'!$E$20*4)+('Costos Insumos'!$E$22*14)</f>
        <v>13972.2</v>
      </c>
      <c r="L21" s="11">
        <f>'Costos Insumos'!E19</f>
        <v>135</v>
      </c>
      <c r="M21" s="11">
        <f>'Costos Insumos'!$E$26*29</f>
        <v>303.34000000000003</v>
      </c>
      <c r="N21" s="11">
        <f>E21+H21+J21+K21+L21+M21</f>
        <v>96111.866390235067</v>
      </c>
      <c r="O21" s="53">
        <v>0.68</v>
      </c>
      <c r="P21" s="54">
        <f>N21/(1-O21)</f>
        <v>300349.58246948465</v>
      </c>
      <c r="Q21" s="55">
        <v>0.4</v>
      </c>
      <c r="R21" s="40">
        <f>P21/(1-Q21)</f>
        <v>500582.63744914113</v>
      </c>
      <c r="S21" s="40">
        <f t="shared" ref="S21:S22" si="40">(P21/0.75)*1.19</f>
        <v>476554.67085158231</v>
      </c>
      <c r="T21" s="6"/>
      <c r="U21" s="6"/>
      <c r="V21" s="6"/>
    </row>
    <row r="22" spans="1:22">
      <c r="A22" s="6" t="s">
        <v>138</v>
      </c>
      <c r="B22" s="6" t="s">
        <v>141</v>
      </c>
      <c r="C22" s="6">
        <v>5323000</v>
      </c>
      <c r="D22" s="12">
        <f>(C22*$D$20)/$C$20</f>
        <v>15.978684050939963</v>
      </c>
      <c r="E22" s="10">
        <f>D22*'Costos Insumos'!$E$4</f>
        <v>40245.191945421466</v>
      </c>
      <c r="F22" s="66">
        <v>822900</v>
      </c>
      <c r="G22" s="13">
        <v>1.1200000000000001</v>
      </c>
      <c r="H22" s="11">
        <f>'Costos Insumos'!$E$6*G22</f>
        <v>22542.240000000002</v>
      </c>
      <c r="I22" s="19">
        <f>(G22*1000)*2.5%</f>
        <v>28</v>
      </c>
      <c r="J22" s="11">
        <f>((G22*1000)*2.5%)*'Costos Insumos'!$E$3</f>
        <v>985.60000000000014</v>
      </c>
      <c r="K22" s="11">
        <f>K20</f>
        <v>6412.2</v>
      </c>
      <c r="L22" s="11">
        <f>'Costos Insumos'!E19</f>
        <v>135</v>
      </c>
      <c r="M22" s="11">
        <f>'Costos Insumos'!$E$26*29</f>
        <v>303.34000000000003</v>
      </c>
      <c r="N22" s="11">
        <f>E22+H22+J22+K22+L22+M22</f>
        <v>70623.57194542147</v>
      </c>
      <c r="O22" s="53">
        <v>0.68</v>
      </c>
      <c r="P22" s="54">
        <f>N22/(1-O22)</f>
        <v>220698.66232944213</v>
      </c>
      <c r="Q22" s="55">
        <v>0.4</v>
      </c>
      <c r="R22" s="40">
        <f>P22/(1-Q22)</f>
        <v>367831.10388240358</v>
      </c>
      <c r="S22" s="40">
        <f t="shared" si="40"/>
        <v>350175.21089604817</v>
      </c>
      <c r="T22" s="6"/>
      <c r="U22" s="6"/>
      <c r="V22" s="6"/>
    </row>
    <row r="23" spans="1:22">
      <c r="A23" s="6"/>
      <c r="B23" s="41" t="s">
        <v>142</v>
      </c>
      <c r="C23" s="41">
        <v>8846000</v>
      </c>
      <c r="D23" s="12">
        <f>(C23*$D$27)/$C$27</f>
        <v>21.466719939437272</v>
      </c>
      <c r="E23" s="10">
        <f>D23*'Costos Insumos'!$E$4</f>
        <v>54067.798177061864</v>
      </c>
      <c r="F23" s="36">
        <v>1022000</v>
      </c>
      <c r="G23" s="13">
        <f>(F23*$G$27)/$F$27</f>
        <v>1.3411644208302658</v>
      </c>
      <c r="H23" s="11">
        <f>'Costos Insumos'!$E$5*G23</f>
        <v>24208.017795986296</v>
      </c>
      <c r="I23" s="19">
        <f t="shared" ref="I23" si="41">(G23*1000)*2.5%</f>
        <v>33.529110520756646</v>
      </c>
      <c r="J23" s="11">
        <f>((G23*1000)*2.5%)*'Costos Insumos'!$E$2</f>
        <v>1274.1061997887525</v>
      </c>
      <c r="K23" s="11">
        <v>2000</v>
      </c>
      <c r="L23" s="11">
        <v>125</v>
      </c>
      <c r="M23" s="11"/>
      <c r="N23" s="11">
        <f t="shared" si="1"/>
        <v>80400.815973048157</v>
      </c>
      <c r="O23" s="49">
        <v>0.68</v>
      </c>
      <c r="P23" s="50">
        <f>N23/(1-O23)</f>
        <v>251252.54991577554</v>
      </c>
      <c r="Q23" s="51">
        <v>0.4</v>
      </c>
      <c r="R23" s="9">
        <f>P23/(1-Q23)</f>
        <v>418754.24985962594</v>
      </c>
      <c r="S23" s="9">
        <f t="shared" ref="S23" si="42">(P23/0.75)*1.19</f>
        <v>398654.04586636386</v>
      </c>
      <c r="T23" s="6"/>
      <c r="U23" s="6"/>
      <c r="V23" s="6"/>
    </row>
    <row r="24" spans="1:22">
      <c r="A24" s="22" t="s">
        <v>143</v>
      </c>
      <c r="B24" s="22" t="s">
        <v>144</v>
      </c>
      <c r="C24" s="60">
        <v>9743000</v>
      </c>
      <c r="D24" s="61">
        <v>20</v>
      </c>
      <c r="E24" s="62">
        <f>D24*'Costos Insumos'!$E$4</f>
        <v>50373.599999999999</v>
      </c>
      <c r="F24" s="63">
        <v>1078000</v>
      </c>
      <c r="G24" s="43">
        <v>1.45</v>
      </c>
      <c r="H24" s="11">
        <f>'Costos Insumos'!$E$6*G24</f>
        <v>29184.149999999998</v>
      </c>
      <c r="I24" s="19">
        <f>(G24*1000)*2.5%</f>
        <v>36.25</v>
      </c>
      <c r="J24" s="11">
        <f>((G24*1000)*2.5%)*'Costos Insumos'!$E$3</f>
        <v>1276</v>
      </c>
      <c r="K24" s="11">
        <f>'Costos Insumos'!E23</f>
        <v>4292.53</v>
      </c>
      <c r="L24" s="11">
        <f>'Costos Insumos'!E19</f>
        <v>135</v>
      </c>
      <c r="M24" s="11"/>
      <c r="N24" s="11">
        <f>E24+H24+K24+L24+J24</f>
        <v>85261.28</v>
      </c>
      <c r="O24" s="53">
        <v>0.68</v>
      </c>
      <c r="P24" s="54">
        <f>N24/(1-O24)</f>
        <v>266441.50000000006</v>
      </c>
      <c r="Q24" s="55">
        <v>0.4</v>
      </c>
      <c r="R24" s="40">
        <f>P24/(1-Q24)</f>
        <v>444069.1666666668</v>
      </c>
      <c r="S24" s="40">
        <f t="shared" ref="S24" si="43">(P24/0.75)*1.19</f>
        <v>422753.84666666674</v>
      </c>
      <c r="T24" s="6"/>
      <c r="U24" s="6"/>
      <c r="V24" s="6"/>
    </row>
    <row r="25" spans="1:22">
      <c r="A25" s="6"/>
      <c r="B25" s="41" t="s">
        <v>145</v>
      </c>
      <c r="C25" s="6">
        <v>7468000</v>
      </c>
      <c r="D25" s="12">
        <f>(C25*$D$27)/$C$27</f>
        <v>18.122706817512721</v>
      </c>
      <c r="E25" s="10">
        <f>D25*'Costos Insumos'!$E$4</f>
        <v>45645.299207132935</v>
      </c>
      <c r="F25" s="36">
        <v>1022000</v>
      </c>
      <c r="G25" s="13">
        <f>(F25*$G$27)/$F$27</f>
        <v>1.3411644208302658</v>
      </c>
      <c r="H25" s="11">
        <f>'Costos Insumos'!$E$6*G25</f>
        <v>26993.616298050758</v>
      </c>
      <c r="I25" s="19">
        <f t="shared" ref="I25" si="44">(G25*1000)*2.5%</f>
        <v>33.529110520756646</v>
      </c>
      <c r="J25" s="11">
        <f>((G25*1000)*2.5%)*'Costos Insumos'!$E$3</f>
        <v>1180.2246903306341</v>
      </c>
      <c r="K25" s="11">
        <v>2000</v>
      </c>
      <c r="L25" s="11">
        <v>125</v>
      </c>
      <c r="M25" s="11"/>
      <c r="N25" s="11">
        <f t="shared" si="1"/>
        <v>74763.915505183686</v>
      </c>
      <c r="O25" s="49">
        <v>0.68</v>
      </c>
      <c r="P25" s="50">
        <f>N25/(1-O25)</f>
        <v>233637.23595369904</v>
      </c>
      <c r="Q25" s="51">
        <v>0.4</v>
      </c>
      <c r="R25" s="9">
        <f>P25/(1-Q25)</f>
        <v>389395.39325616509</v>
      </c>
      <c r="S25" s="9">
        <f t="shared" ref="S25" si="45">(P25/0.75)*1.19</f>
        <v>370704.41437986912</v>
      </c>
      <c r="T25" s="6"/>
      <c r="U25" s="6"/>
      <c r="V25" s="6"/>
    </row>
    <row r="26" spans="1:22">
      <c r="A26" s="6" t="s">
        <v>146</v>
      </c>
      <c r="B26" s="6" t="s">
        <v>147</v>
      </c>
      <c r="C26" s="6">
        <v>7468000</v>
      </c>
      <c r="D26" s="12">
        <v>23</v>
      </c>
      <c r="E26" s="10">
        <f>D26*'Costos Insumos'!$E$4</f>
        <v>57929.64</v>
      </c>
      <c r="F26" s="36">
        <v>1053000</v>
      </c>
      <c r="G26" s="13">
        <v>1.5</v>
      </c>
      <c r="H26" s="11">
        <f>'Costos Insumos'!$E$6*G26</f>
        <v>30190.5</v>
      </c>
      <c r="I26" s="19">
        <f t="shared" ref="I26" si="46">(G26*1000)*2.5%</f>
        <v>37.5</v>
      </c>
      <c r="J26" s="11">
        <f>((G26*1000)*2.5%)*'Costos Insumos'!$E$3</f>
        <v>1320</v>
      </c>
      <c r="K26" s="11">
        <f>'Costos Insumos'!E23</f>
        <v>4292.53</v>
      </c>
      <c r="L26" s="11">
        <f>'Costos Insumos'!E19</f>
        <v>135</v>
      </c>
      <c r="M26" s="11">
        <f>'Costos Insumos'!E26*10</f>
        <v>104.60000000000001</v>
      </c>
      <c r="N26" s="15">
        <f>E26+H26+K26+L26+J26+M26</f>
        <v>93972.27</v>
      </c>
      <c r="O26" s="74">
        <v>0.68</v>
      </c>
      <c r="P26" s="75">
        <f>N26/(1-O26)</f>
        <v>293663.34375000006</v>
      </c>
      <c r="Q26" s="76">
        <v>0.4</v>
      </c>
      <c r="R26" s="15">
        <f>P26/(1-Q26)</f>
        <v>489438.90625000012</v>
      </c>
      <c r="S26" s="15">
        <f t="shared" ref="S26" si="47">(P26/0.75)*1.19</f>
        <v>465945.83875000005</v>
      </c>
      <c r="T26" s="6"/>
      <c r="U26" s="6"/>
      <c r="V26" s="6"/>
    </row>
    <row r="27" spans="1:22">
      <c r="A27" s="14"/>
      <c r="B27" s="14" t="s">
        <v>148</v>
      </c>
      <c r="C27" s="69">
        <f>AVERAGE(C3,C5,C7,C9,C16,C17,C24)</f>
        <v>3396714.2857142859</v>
      </c>
      <c r="D27" s="70">
        <f>AVERAGE(D3,D5,D7,D9,D16,D17,D24)</f>
        <v>8.2428571428571438</v>
      </c>
      <c r="E27" s="71">
        <f>AVERAGE(E3,E5,E7,E9,E16,E17,E24)</f>
        <v>20761.11942857143</v>
      </c>
      <c r="F27" s="72">
        <f t="shared" ref="F27:S29" si="48">AVERAGE(F3,F5,F7,F9,F16,F17,F24)</f>
        <v>446328.57142857142</v>
      </c>
      <c r="G27" s="73">
        <f t="shared" si="48"/>
        <v>0.58571428571428563</v>
      </c>
      <c r="H27" s="15">
        <f t="shared" si="48"/>
        <v>11002.378571428571</v>
      </c>
      <c r="I27" s="21">
        <f t="shared" si="48"/>
        <v>14.642857142857142</v>
      </c>
      <c r="J27" s="15">
        <f t="shared" si="48"/>
        <v>565.75</v>
      </c>
      <c r="K27" s="15">
        <f t="shared" si="48"/>
        <v>3303.1716666666666</v>
      </c>
      <c r="L27" s="15">
        <f t="shared" si="48"/>
        <v>120.94499999999999</v>
      </c>
      <c r="M27" s="79"/>
      <c r="N27" s="11">
        <f t="shared" si="48"/>
        <v>36483.625156666669</v>
      </c>
      <c r="O27" s="56">
        <f t="shared" si="48"/>
        <v>0.7463333333333334</v>
      </c>
      <c r="P27" s="50">
        <f t="shared" si="48"/>
        <v>137979.61865384618</v>
      </c>
      <c r="Q27" s="51">
        <f t="shared" si="48"/>
        <v>0.39999999999999997</v>
      </c>
      <c r="R27" s="11">
        <f t="shared" si="48"/>
        <v>229966.0310897436</v>
      </c>
      <c r="S27" s="11">
        <f t="shared" si="48"/>
        <v>218927.66159743592</v>
      </c>
      <c r="T27" s="81"/>
      <c r="U27" s="6"/>
      <c r="V27" s="6"/>
    </row>
    <row r="28" spans="1:22">
      <c r="A28" s="6"/>
      <c r="B28" s="6" t="s">
        <v>149</v>
      </c>
      <c r="C28" s="68">
        <v>6334000</v>
      </c>
      <c r="D28" s="12">
        <f>(C28*$D$27)/$C$27</f>
        <v>15.370812129368719</v>
      </c>
      <c r="E28" s="10">
        <f>D28*'Costos Insumos'!$E$4</f>
        <v>38714.157093998401</v>
      </c>
      <c r="F28" s="36">
        <v>859800</v>
      </c>
      <c r="G28" s="13">
        <f>(F28*$G$27)/$F$27</f>
        <v>1.1283103415164994</v>
      </c>
      <c r="H28" s="11">
        <f>'Costos Insumos'!$E$6*G28</f>
        <v>22709.502243702584</v>
      </c>
      <c r="I28" s="19">
        <f t="shared" ref="I28" si="49">(G28*1000)*2.5%</f>
        <v>28.207758537912486</v>
      </c>
      <c r="J28" s="11">
        <f>((G28*1000)*2.5%)*'Costos Insumos'!$E$3</f>
        <v>992.91310053451957</v>
      </c>
      <c r="K28" s="11">
        <f>'Costos Insumos'!E39</f>
        <v>11919</v>
      </c>
      <c r="L28" s="11">
        <v>135</v>
      </c>
      <c r="M28" s="80"/>
      <c r="N28" s="11">
        <f>E28+H28+K28+L28+J28</f>
        <v>74470.572438235511</v>
      </c>
      <c r="O28" s="49"/>
      <c r="P28" s="50"/>
      <c r="Q28" s="51"/>
      <c r="R28" s="9"/>
      <c r="S28" s="9"/>
    </row>
    <row r="29" spans="1:22">
      <c r="A29" s="6"/>
      <c r="B29" s="6" t="s">
        <v>150</v>
      </c>
      <c r="C29" s="68">
        <v>5188000</v>
      </c>
      <c r="D29" s="12">
        <f>(C29*$D$27)/$C$27</f>
        <v>12.589796862514193</v>
      </c>
      <c r="E29" s="10">
        <f>D29*'Costos Insumos'!$E$4</f>
        <v>31709.669561677245</v>
      </c>
      <c r="F29" s="78">
        <v>842500</v>
      </c>
      <c r="G29" s="13">
        <f>(F29*$G$27)/$F$27</f>
        <v>1.1056076561149695</v>
      </c>
      <c r="H29" s="11">
        <f>'Costos Insumos'!$E$6*G29</f>
        <v>22252.565294625991</v>
      </c>
      <c r="I29" s="19">
        <f t="shared" ref="I29" si="50">(G29*1000)*2.5%</f>
        <v>27.640191402874237</v>
      </c>
      <c r="J29" s="11">
        <f>((G29*1000)*2.5%)*'Costos Insumos'!$E$3</f>
        <v>972.93473738117325</v>
      </c>
      <c r="K29" s="11">
        <v>25000</v>
      </c>
      <c r="L29" s="11">
        <v>135</v>
      </c>
      <c r="M29" s="80"/>
      <c r="N29" s="11">
        <f>E29+H29+K29+L29+J29</f>
        <v>80070.169593684404</v>
      </c>
      <c r="O29" s="49">
        <v>0.68</v>
      </c>
      <c r="P29" s="50">
        <f>N29/(1-O29)</f>
        <v>250219.27998026379</v>
      </c>
      <c r="Q29" s="51">
        <v>0.4</v>
      </c>
      <c r="R29" s="9">
        <f>P29/(1-Q29)</f>
        <v>417032.13330043969</v>
      </c>
      <c r="S29" s="9">
        <f t="shared" ref="S29" si="51">(P29/0.75)*1.19</f>
        <v>397014.59090201854</v>
      </c>
    </row>
    <row r="30" spans="1:22">
      <c r="C30" s="23"/>
      <c r="E30" s="23"/>
      <c r="I30" s="37"/>
      <c r="J30" s="37"/>
    </row>
    <row r="31" spans="1:22">
      <c r="C31" s="23"/>
      <c r="E31" s="23"/>
      <c r="F31" s="23"/>
      <c r="I31" s="37"/>
      <c r="J31" s="37"/>
    </row>
    <row r="32" spans="1:22">
      <c r="C32" s="23"/>
      <c r="D32" s="44"/>
      <c r="F32" s="23"/>
    </row>
    <row r="33" spans="3:12">
      <c r="C33" s="23"/>
      <c r="F33" s="23"/>
    </row>
    <row r="34" spans="3:12">
      <c r="C34" s="23"/>
      <c r="D34" s="23"/>
      <c r="F34" s="23"/>
    </row>
    <row r="35" spans="3:12">
      <c r="C35" s="23"/>
      <c r="D35" s="59"/>
      <c r="F35" s="23"/>
      <c r="I35" s="37"/>
      <c r="J35" s="37"/>
      <c r="K35" s="37"/>
      <c r="L35" s="37"/>
    </row>
    <row r="36" spans="3:12">
      <c r="C36" s="23"/>
      <c r="D36" s="23"/>
      <c r="F36" s="23"/>
      <c r="K36" s="37"/>
      <c r="L36" s="37"/>
    </row>
    <row r="37" spans="3:12">
      <c r="C37" s="23"/>
      <c r="D37" s="23"/>
      <c r="F37" s="23"/>
      <c r="J37" s="37"/>
      <c r="L37" s="37"/>
    </row>
    <row r="38" spans="3:12">
      <c r="C38" s="23"/>
      <c r="D38" s="23"/>
      <c r="F38" s="23"/>
    </row>
    <row r="39" spans="3:12">
      <c r="C39" s="23"/>
      <c r="D39" s="23"/>
      <c r="F39" s="23"/>
      <c r="H39" s="37"/>
      <c r="I39" s="37"/>
      <c r="L39" s="37"/>
    </row>
    <row r="40" spans="3:12">
      <c r="C40" s="23"/>
      <c r="D40" s="23"/>
      <c r="F40" s="23"/>
      <c r="I40" s="37"/>
      <c r="L40" s="37"/>
    </row>
    <row r="41" spans="3:12">
      <c r="C41" s="23"/>
      <c r="D41" s="23"/>
      <c r="F41" s="23"/>
    </row>
    <row r="42" spans="3:12">
      <c r="C42" s="23"/>
      <c r="D42" s="23"/>
      <c r="F42" s="23"/>
      <c r="I42" s="37"/>
      <c r="L42" s="37"/>
    </row>
    <row r="43" spans="3:12">
      <c r="C43" s="23"/>
      <c r="D43" s="23"/>
      <c r="F43" s="23"/>
      <c r="I43" s="37"/>
      <c r="L43" s="37"/>
    </row>
    <row r="44" spans="3:12">
      <c r="C44" s="23"/>
      <c r="D44" s="23"/>
      <c r="F44" s="23"/>
      <c r="I44" s="37"/>
      <c r="L44" s="37"/>
    </row>
    <row r="45" spans="3:12">
      <c r="C45" s="23"/>
      <c r="D45" s="23"/>
      <c r="F45" s="23"/>
    </row>
    <row r="46" spans="3:12">
      <c r="C46" s="23"/>
      <c r="D46" s="23"/>
      <c r="F46" s="23"/>
      <c r="K46" s="37"/>
      <c r="L46" s="37"/>
    </row>
    <row r="47" spans="3:12">
      <c r="C47" s="23"/>
      <c r="D47" s="23"/>
      <c r="F47" s="23"/>
    </row>
    <row r="48" spans="3:12">
      <c r="C48" s="23"/>
      <c r="D48" s="23"/>
      <c r="F48" s="23"/>
      <c r="H48" s="37"/>
      <c r="I48" s="37"/>
      <c r="L48" s="37"/>
    </row>
    <row r="49" spans="3:13">
      <c r="C49" s="23"/>
      <c r="D49" s="23"/>
      <c r="F49" s="23"/>
      <c r="H49" s="37"/>
      <c r="I49" s="37"/>
      <c r="L49" s="37"/>
    </row>
    <row r="50" spans="3:13">
      <c r="C50" s="23"/>
      <c r="D50" s="23"/>
      <c r="F50" s="23"/>
      <c r="H50" s="37"/>
      <c r="I50" s="37"/>
      <c r="L50" s="37"/>
    </row>
    <row r="51" spans="3:13">
      <c r="C51" s="23"/>
      <c r="D51" s="23"/>
      <c r="F51" s="23"/>
    </row>
    <row r="52" spans="3:13">
      <c r="C52" s="23"/>
      <c r="D52" s="23"/>
      <c r="F52" s="23"/>
      <c r="H52" s="37"/>
    </row>
    <row r="53" spans="3:13">
      <c r="C53" s="23"/>
      <c r="F53" s="23"/>
    </row>
    <row r="54" spans="3:13">
      <c r="C54" s="23"/>
      <c r="E54" s="23"/>
      <c r="F54" s="23"/>
    </row>
    <row r="55" spans="3:13">
      <c r="C55" s="23"/>
      <c r="E55" s="23"/>
      <c r="F55" s="23"/>
      <c r="M55" s="39"/>
    </row>
    <row r="56" spans="3:13">
      <c r="C56" s="23"/>
      <c r="E56" s="23"/>
      <c r="F56" s="23"/>
      <c r="G56" s="38"/>
    </row>
    <row r="57" spans="3:13">
      <c r="C57" s="23"/>
      <c r="E57" s="23"/>
      <c r="F57" s="23"/>
      <c r="G57" s="38"/>
      <c r="M57" s="39"/>
    </row>
    <row r="58" spans="3:13">
      <c r="C58" s="23"/>
      <c r="E58" s="23"/>
      <c r="F58" s="23"/>
      <c r="G58" s="38"/>
      <c r="M58" s="39"/>
    </row>
    <row r="59" spans="3:13">
      <c r="C59" s="23"/>
      <c r="E59" s="23"/>
      <c r="F59" s="23"/>
      <c r="M59" s="39"/>
    </row>
    <row r="60" spans="3:13">
      <c r="C60" s="23"/>
      <c r="E60" s="23"/>
      <c r="F60" s="23"/>
      <c r="M60" s="39"/>
    </row>
    <row r="61" spans="3:13">
      <c r="C61" s="23"/>
      <c r="E61" s="23"/>
      <c r="F61" s="23"/>
    </row>
    <row r="62" spans="3:13">
      <c r="C62" s="23"/>
      <c r="E62" s="23"/>
      <c r="F62" s="23"/>
    </row>
    <row r="63" spans="3:13">
      <c r="C63" s="23"/>
      <c r="F63" s="23"/>
      <c r="M63" s="38"/>
    </row>
    <row r="64" spans="3:13">
      <c r="C64" s="23"/>
      <c r="F64" s="23"/>
    </row>
    <row r="65" spans="6:13">
      <c r="F65" s="23"/>
      <c r="H65" s="23"/>
      <c r="I65" s="23"/>
    </row>
    <row r="66" spans="6:13">
      <c r="F66" s="23"/>
      <c r="H66" s="23"/>
      <c r="I66" s="23"/>
      <c r="K66" s="35"/>
    </row>
    <row r="67" spans="6:13">
      <c r="F67" s="23"/>
      <c r="H67" s="23"/>
      <c r="I67" s="23"/>
      <c r="L67" s="23"/>
      <c r="M67" s="23"/>
    </row>
    <row r="68" spans="6:13">
      <c r="H68" s="23"/>
      <c r="I68" s="23"/>
      <c r="L68" s="23"/>
      <c r="M68" s="23"/>
    </row>
    <row r="69" spans="6:13">
      <c r="H69" s="23"/>
      <c r="I69" s="23"/>
      <c r="L69" s="23"/>
      <c r="M69" s="23"/>
    </row>
    <row r="70" spans="6:13">
      <c r="H70" s="23"/>
      <c r="I70" s="23"/>
      <c r="L70" s="23"/>
      <c r="M70" s="23"/>
    </row>
    <row r="71" spans="6:13">
      <c r="H71" s="23"/>
      <c r="I71" s="23"/>
      <c r="L71" s="23"/>
      <c r="M71" s="23"/>
    </row>
    <row r="72" spans="6:13">
      <c r="H72" s="23"/>
      <c r="I72" s="23"/>
      <c r="L72" s="23"/>
      <c r="M72" s="23"/>
    </row>
    <row r="73" spans="6:13">
      <c r="H73" s="23"/>
      <c r="I73" s="23"/>
      <c r="L73" s="23"/>
      <c r="M73" s="23"/>
    </row>
    <row r="74" spans="6:13">
      <c r="H74" s="23"/>
      <c r="I74" s="23"/>
      <c r="L74" s="23"/>
      <c r="M74" s="23"/>
    </row>
    <row r="75" spans="6:13">
      <c r="H75" s="23"/>
      <c r="I75" s="23"/>
      <c r="L75" s="23"/>
      <c r="M75" s="23"/>
    </row>
    <row r="76" spans="6:13">
      <c r="H76" s="23"/>
      <c r="I76" s="23"/>
      <c r="L76" s="23"/>
      <c r="M76" s="23"/>
    </row>
    <row r="77" spans="6:13">
      <c r="H77" s="23"/>
      <c r="I77" s="23"/>
      <c r="L77" s="23"/>
      <c r="M77" s="23"/>
    </row>
    <row r="78" spans="6:13">
      <c r="H78" s="23"/>
      <c r="I78" s="23"/>
      <c r="L78" s="23"/>
      <c r="M78" s="23"/>
    </row>
    <row r="79" spans="6:13">
      <c r="H79" s="23"/>
      <c r="I79" s="23"/>
      <c r="L79" s="23"/>
      <c r="M79" s="23"/>
    </row>
    <row r="80" spans="6:13">
      <c r="H80" s="23"/>
      <c r="I80" s="23"/>
      <c r="L80" s="23"/>
      <c r="M80" s="23"/>
    </row>
    <row r="81" spans="8:13">
      <c r="H81" s="23"/>
      <c r="I81" s="23"/>
      <c r="L81" s="23"/>
      <c r="M81" s="23"/>
    </row>
    <row r="82" spans="8:13">
      <c r="H82" s="23"/>
      <c r="I82" s="23"/>
      <c r="L82" s="23"/>
      <c r="M82" s="23"/>
    </row>
    <row r="83" spans="8:13">
      <c r="H83" s="23"/>
      <c r="I83" s="23"/>
      <c r="L83" s="23"/>
      <c r="M83" s="23"/>
    </row>
    <row r="84" spans="8:13">
      <c r="H84" s="23"/>
      <c r="I84" s="23"/>
      <c r="L84" s="23"/>
      <c r="M84" s="23"/>
    </row>
    <row r="85" spans="8:13">
      <c r="H85" s="23"/>
      <c r="I85" s="23"/>
      <c r="L85" s="23"/>
      <c r="M85" s="23"/>
    </row>
    <row r="86" spans="8:13">
      <c r="H86" s="23"/>
      <c r="I86" s="23"/>
      <c r="L86" s="23"/>
      <c r="M86" s="23"/>
    </row>
    <row r="87" spans="8:13">
      <c r="H87" s="23"/>
      <c r="I87" s="23"/>
      <c r="L87" s="23"/>
      <c r="M87" s="23"/>
    </row>
    <row r="88" spans="8:13">
      <c r="H88" s="23"/>
      <c r="I88" s="23"/>
      <c r="L88" s="23"/>
      <c r="M88" s="23"/>
    </row>
    <row r="89" spans="8:13">
      <c r="H89" s="23"/>
      <c r="I89" s="23"/>
      <c r="L89" s="23"/>
      <c r="M89" s="23"/>
    </row>
    <row r="90" spans="8:13">
      <c r="H90" s="23"/>
      <c r="I90" s="23"/>
      <c r="L90" s="23"/>
      <c r="M90" s="23"/>
    </row>
    <row r="91" spans="8:13">
      <c r="H91" s="23"/>
      <c r="I91" s="23"/>
      <c r="L91" s="23"/>
      <c r="M91" s="23"/>
    </row>
    <row r="92" spans="8:13">
      <c r="H92" s="23"/>
      <c r="I92" s="23"/>
      <c r="L92" s="23"/>
      <c r="M92" s="23"/>
    </row>
    <row r="93" spans="8:13">
      <c r="H93" s="23"/>
      <c r="I93" s="23"/>
      <c r="L93" s="23"/>
      <c r="M93" s="23"/>
    </row>
    <row r="94" spans="8:13">
      <c r="H94" s="23"/>
      <c r="I94" s="23"/>
      <c r="L94" s="23"/>
      <c r="M94" s="23"/>
    </row>
    <row r="95" spans="8:13">
      <c r="H95" s="23"/>
      <c r="I95" s="23"/>
      <c r="L95" s="23"/>
      <c r="M95" s="23"/>
    </row>
    <row r="96" spans="8:13">
      <c r="H96" s="23"/>
      <c r="I96" s="23"/>
      <c r="L96" s="23"/>
      <c r="M96" s="23"/>
    </row>
    <row r="97" spans="8:13">
      <c r="H97" s="23"/>
      <c r="I97" s="23"/>
      <c r="L97" s="23"/>
      <c r="M97" s="23"/>
    </row>
    <row r="98" spans="8:13">
      <c r="H98" s="23"/>
      <c r="I98" s="23"/>
      <c r="L98" s="23"/>
      <c r="M98" s="23"/>
    </row>
    <row r="99" spans="8:13">
      <c r="H99" s="23"/>
      <c r="I99" s="23"/>
      <c r="L99" s="23"/>
      <c r="M99" s="23"/>
    </row>
    <row r="100" spans="8:13">
      <c r="H100" s="23"/>
      <c r="I100" s="23"/>
      <c r="L100" s="23"/>
      <c r="M100" s="23"/>
    </row>
    <row r="101" spans="8:13">
      <c r="H101" s="23"/>
      <c r="I101" s="23"/>
      <c r="L101" s="23"/>
      <c r="M101" s="23"/>
    </row>
    <row r="102" spans="8:13">
      <c r="L102" s="23"/>
      <c r="M102" s="23"/>
    </row>
    <row r="103" spans="8:13">
      <c r="L103" s="23"/>
      <c r="M103" s="23"/>
    </row>
  </sheetData>
  <sheetProtection algorithmName="SHA-512" hashValue="Rjm/oM+M3InKpa6G+dML3iymdKvgI6Q5Im9+cDdOXpXxyVQJzeJZ/iguL6HayaYkJ2JZtCITHMUYG9Da6WHVkQ==" saltValue="A2qoRjYzAqCeQe4/P66HsQ==" spinCount="100000" sheet="1" objects="1" scenarios="1"/>
  <protectedRanges>
    <protectedRange sqref="O1:S26 O28:S29" name="Rango1"/>
  </protectedRanges>
  <autoFilter ref="A1:S29" xr:uid="{C38EDC73-5147-4C6D-8C2C-8815DF79D29F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A1D8-70EA-4D32-B484-7DC4E238BFE3}">
  <dimension ref="A1:AE60"/>
  <sheetViews>
    <sheetView workbookViewId="0">
      <pane xSplit="1" topLeftCell="B1" activePane="topRight" state="frozen"/>
      <selection pane="topRight" activeCell="H1" sqref="H1"/>
    </sheetView>
  </sheetViews>
  <sheetFormatPr defaultColWidth="9.140625" defaultRowHeight="15"/>
  <cols>
    <col min="1" max="1" width="58" customWidth="1"/>
    <col min="2" max="2" width="22.140625" bestFit="1" customWidth="1"/>
    <col min="3" max="3" width="24.5703125" customWidth="1"/>
    <col min="4" max="4" width="25.5703125" customWidth="1"/>
    <col min="5" max="5" width="21.5703125" bestFit="1" customWidth="1"/>
    <col min="6" max="6" width="11.5703125" customWidth="1"/>
    <col min="7" max="7" width="18.85546875" customWidth="1"/>
    <col min="8" max="8" width="15.7109375" bestFit="1" customWidth="1"/>
    <col min="9" max="9" width="20" customWidth="1"/>
    <col min="10" max="10" width="18.85546875" bestFit="1" customWidth="1"/>
    <col min="11" max="11" width="16.7109375" customWidth="1"/>
    <col min="12" max="12" width="26.5703125" bestFit="1" customWidth="1"/>
    <col min="13" max="13" width="11.28515625" customWidth="1"/>
    <col min="14" max="14" width="12.7109375" customWidth="1"/>
    <col min="15" max="16" width="14.42578125" customWidth="1"/>
    <col min="17" max="19" width="19" customWidth="1"/>
    <col min="20" max="20" width="37.42578125" bestFit="1" customWidth="1"/>
    <col min="21" max="21" width="5.42578125" bestFit="1" customWidth="1"/>
    <col min="22" max="22" width="13.42578125" bestFit="1" customWidth="1"/>
    <col min="23" max="23" width="10.42578125" bestFit="1" customWidth="1"/>
    <col min="24" max="25" width="14.5703125" bestFit="1" customWidth="1"/>
    <col min="26" max="26" width="10.7109375" bestFit="1" customWidth="1"/>
    <col min="27" max="27" width="13.28515625" bestFit="1" customWidth="1"/>
    <col min="28" max="28" width="14.140625" bestFit="1" customWidth="1"/>
    <col min="30" max="30" width="19" customWidth="1"/>
    <col min="31" max="31" width="14.5703125" bestFit="1" customWidth="1"/>
  </cols>
  <sheetData>
    <row r="1" spans="1:31">
      <c r="A1" s="23" t="s">
        <v>151</v>
      </c>
      <c r="B1" s="29">
        <v>234.1</v>
      </c>
    </row>
    <row r="2" spans="1:31">
      <c r="A2" t="s">
        <v>152</v>
      </c>
      <c r="B2" s="29">
        <v>18.53</v>
      </c>
    </row>
    <row r="3" spans="1:31">
      <c r="A3" s="23" t="s">
        <v>153</v>
      </c>
      <c r="B3" s="29">
        <v>16.809999999999999</v>
      </c>
    </row>
    <row r="4" spans="1:31">
      <c r="A4" t="s">
        <v>154</v>
      </c>
      <c r="B4" s="29">
        <v>1120.1400000000001</v>
      </c>
    </row>
    <row r="5" spans="1:31">
      <c r="A5" t="s">
        <v>155</v>
      </c>
      <c r="B5" s="29">
        <v>923.38</v>
      </c>
    </row>
    <row r="6" spans="1:31" ht="30">
      <c r="A6" s="23" t="s">
        <v>156</v>
      </c>
      <c r="B6" s="29">
        <f>2618.72+525</f>
        <v>3143.72</v>
      </c>
    </row>
    <row r="7" spans="1:31">
      <c r="A7" t="s">
        <v>157</v>
      </c>
      <c r="B7" s="26">
        <f>284.04</f>
        <v>284.04000000000002</v>
      </c>
      <c r="I7" s="18"/>
    </row>
    <row r="8" spans="1:31" ht="30">
      <c r="A8" s="23" t="s">
        <v>158</v>
      </c>
      <c r="B8" s="26">
        <v>8299.39</v>
      </c>
    </row>
    <row r="9" spans="1:31">
      <c r="A9" t="s">
        <v>159</v>
      </c>
      <c r="B9" s="26">
        <v>18050</v>
      </c>
    </row>
    <row r="10" spans="1:31">
      <c r="A10" t="s">
        <v>160</v>
      </c>
      <c r="B10" s="26">
        <v>38.5</v>
      </c>
    </row>
    <row r="11" spans="1:31">
      <c r="A11" t="s">
        <v>161</v>
      </c>
      <c r="B11" s="26">
        <v>5298.78</v>
      </c>
      <c r="AA11" s="82" t="s">
        <v>162</v>
      </c>
      <c r="AB11" s="82"/>
      <c r="AC11" s="2"/>
      <c r="AD11" s="2"/>
      <c r="AE11" s="2"/>
    </row>
    <row r="12" spans="1:31" ht="45">
      <c r="A12" s="6"/>
      <c r="B12" s="27" t="s">
        <v>104</v>
      </c>
      <c r="C12" s="28" t="s">
        <v>163</v>
      </c>
      <c r="D12" s="28" t="s">
        <v>164</v>
      </c>
      <c r="E12" s="28" t="s">
        <v>165</v>
      </c>
      <c r="F12" s="27" t="s">
        <v>105</v>
      </c>
      <c r="G12" s="27" t="s">
        <v>166</v>
      </c>
      <c r="H12" s="27" t="s">
        <v>167</v>
      </c>
      <c r="I12" s="28" t="s">
        <v>168</v>
      </c>
      <c r="J12" s="27" t="s">
        <v>169</v>
      </c>
      <c r="K12" s="28" t="s">
        <v>170</v>
      </c>
      <c r="L12" s="27" t="s">
        <v>171</v>
      </c>
      <c r="M12" s="28" t="s">
        <v>172</v>
      </c>
      <c r="N12" s="28" t="s">
        <v>173</v>
      </c>
      <c r="O12" s="28" t="s">
        <v>174</v>
      </c>
      <c r="P12" s="27" t="s">
        <v>175</v>
      </c>
      <c r="Q12" s="27" t="s">
        <v>176</v>
      </c>
      <c r="R12" s="28" t="s">
        <v>177</v>
      </c>
      <c r="S12" s="27" t="s">
        <v>178</v>
      </c>
      <c r="T12" s="28" t="s">
        <v>112</v>
      </c>
      <c r="U12" s="2" t="s">
        <v>113</v>
      </c>
      <c r="V12" s="2" t="s">
        <v>114</v>
      </c>
      <c r="W12" s="2" t="s">
        <v>115</v>
      </c>
      <c r="X12" s="2" t="s">
        <v>116</v>
      </c>
      <c r="Y12" s="2" t="s">
        <v>117</v>
      </c>
      <c r="AA12" s="2" t="s">
        <v>118</v>
      </c>
      <c r="AB12" s="2" t="s">
        <v>119</v>
      </c>
    </row>
    <row r="13" spans="1:31">
      <c r="A13" s="6" t="s">
        <v>179</v>
      </c>
      <c r="B13" s="16">
        <v>1443000</v>
      </c>
      <c r="C13" s="24">
        <v>9.6</v>
      </c>
      <c r="D13" s="24">
        <v>0.51</v>
      </c>
      <c r="E13" s="11">
        <f>($C13*$B$8)+($D13*$B$11)</f>
        <v>82376.521799999988</v>
      </c>
      <c r="F13" s="13">
        <v>2.0299999999999998</v>
      </c>
      <c r="G13" s="19">
        <f>(F13*1000)*2.5%</f>
        <v>50.75</v>
      </c>
      <c r="H13" s="11">
        <f>($B$9*$F13)+($B$10*$G13)</f>
        <v>38595.375</v>
      </c>
      <c r="I13" s="25">
        <v>4</v>
      </c>
      <c r="J13" s="9">
        <f>$I13*$B$7</f>
        <v>1136.1600000000001</v>
      </c>
      <c r="K13" s="25">
        <v>0</v>
      </c>
      <c r="L13" s="9">
        <f>$K13*$B$6</f>
        <v>0</v>
      </c>
      <c r="M13" s="25">
        <v>6</v>
      </c>
      <c r="N13" s="25">
        <v>4</v>
      </c>
      <c r="O13" s="25">
        <v>6</v>
      </c>
      <c r="P13" s="25">
        <v>6</v>
      </c>
      <c r="Q13" s="25">
        <f>M13*2</f>
        <v>12</v>
      </c>
      <c r="R13" s="9">
        <f>(M13*$B$5)+(N13*$B$4)+(O13*$B$3)+(P13*$B$2)+(Q13*$B$1)</f>
        <v>13042.080000000002</v>
      </c>
      <c r="S13" s="9">
        <v>0</v>
      </c>
      <c r="T13" s="9">
        <f>L13+J13+H13+E13+R13+S13</f>
        <v>135150.13679999998</v>
      </c>
      <c r="U13" s="3">
        <v>0.75</v>
      </c>
      <c r="V13" s="4">
        <f>T13/(1-U13)</f>
        <v>540600.54719999991</v>
      </c>
      <c r="W13" s="5">
        <v>0.4</v>
      </c>
      <c r="X13" s="1">
        <f>V13/(1-W13)</f>
        <v>901000.91199999989</v>
      </c>
      <c r="Y13" s="1">
        <f>(V13/0.75)*1.19</f>
        <v>857752.86822399974</v>
      </c>
      <c r="AA13" s="20"/>
    </row>
    <row r="14" spans="1:31">
      <c r="A14" s="6" t="s">
        <v>180</v>
      </c>
      <c r="B14" s="16">
        <v>1573000</v>
      </c>
      <c r="C14" s="16">
        <v>14.1</v>
      </c>
      <c r="D14" s="16">
        <v>0.51</v>
      </c>
      <c r="E14" s="11">
        <f t="shared" ref="E14" si="0">($C14*$B$8)+($D14*$B$11)</f>
        <v>119723.77679999999</v>
      </c>
      <c r="F14" s="13">
        <v>1.5</v>
      </c>
      <c r="G14" s="19">
        <f>(F14*1000)*2.5%</f>
        <v>37.5</v>
      </c>
      <c r="H14" s="11">
        <f>($B$9*$F14)+($B$10*$G14)</f>
        <v>28518.75</v>
      </c>
      <c r="I14" s="25">
        <v>4</v>
      </c>
      <c r="J14" s="9">
        <f>$I14*$B$7</f>
        <v>1136.1600000000001</v>
      </c>
      <c r="K14" s="19">
        <v>0</v>
      </c>
      <c r="L14" s="9">
        <f>$K14*$B$6</f>
        <v>0</v>
      </c>
      <c r="M14" s="25">
        <v>9</v>
      </c>
      <c r="N14" s="25">
        <v>9</v>
      </c>
      <c r="O14" s="25">
        <v>9</v>
      </c>
      <c r="P14" s="25">
        <v>9</v>
      </c>
      <c r="Q14" s="25">
        <f>M14*2</f>
        <v>18</v>
      </c>
      <c r="R14" s="9">
        <f>(M14*$B$5)+(N14*$B$4)+(O14*$B$3)+(P14*$B$2)+(Q14*$B$1)</f>
        <v>22923.54</v>
      </c>
      <c r="S14" s="9">
        <v>0</v>
      </c>
      <c r="T14" s="9">
        <f t="shared" ref="T14:T16" si="1">L14+J14+H14+E14+R14+S14</f>
        <v>172302.2268</v>
      </c>
      <c r="U14" s="3">
        <v>0.75</v>
      </c>
      <c r="V14" s="4">
        <f>T14/(1-U14)</f>
        <v>689208.90720000002</v>
      </c>
      <c r="W14" s="5">
        <v>0.4</v>
      </c>
      <c r="X14" s="1">
        <f>V14/(1-W14)</f>
        <v>1148681.5120000001</v>
      </c>
      <c r="Y14" s="1">
        <f>(V14/0.75)*1.19</f>
        <v>1093544.7994240001</v>
      </c>
    </row>
    <row r="15" spans="1:31">
      <c r="A15" s="6" t="s">
        <v>181</v>
      </c>
      <c r="B15" s="16">
        <v>2879000</v>
      </c>
      <c r="C15" s="16">
        <v>12.43</v>
      </c>
      <c r="D15" s="16">
        <v>0.63</v>
      </c>
      <c r="E15" s="11">
        <f>($C15*$B$8)+($D15*$B$11)</f>
        <v>106499.6491</v>
      </c>
      <c r="F15" s="13">
        <v>5.1100000000000003</v>
      </c>
      <c r="G15" s="19">
        <f>(F15*1000)*2.5%</f>
        <v>127.75</v>
      </c>
      <c r="H15" s="11">
        <f>($B$9*$F15)+($B$10*$G15)</f>
        <v>97153.875</v>
      </c>
      <c r="I15" s="25">
        <v>4</v>
      </c>
      <c r="J15" s="9">
        <f>$I15*$B$7</f>
        <v>1136.1600000000001</v>
      </c>
      <c r="K15" s="19">
        <v>0</v>
      </c>
      <c r="L15" s="9">
        <f>$K15*$B$6</f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9">
        <f>(M15*$B$5)+(N15*$B$4)+(O15*$B$3)+(P15*$B$2)+(Q15*$B$1)</f>
        <v>0</v>
      </c>
      <c r="S15" s="9">
        <v>0</v>
      </c>
      <c r="T15" s="9">
        <f t="shared" si="1"/>
        <v>204789.68410000001</v>
      </c>
      <c r="U15" s="3">
        <v>0.75</v>
      </c>
      <c r="V15" s="4">
        <f>T15/(1-U15)</f>
        <v>819158.73640000005</v>
      </c>
      <c r="W15" s="5">
        <v>0.4</v>
      </c>
      <c r="X15" s="1">
        <f>V15/(1-W15)</f>
        <v>1365264.5606666668</v>
      </c>
      <c r="Y15" s="1">
        <f>(V15/0.75)*1.19</f>
        <v>1299731.8617546665</v>
      </c>
    </row>
    <row r="16" spans="1:31">
      <c r="A16" s="33" t="s">
        <v>182</v>
      </c>
      <c r="B16" s="17">
        <f>697100+1057000</f>
        <v>1754100</v>
      </c>
      <c r="C16" s="16">
        <v>5.9</v>
      </c>
      <c r="D16" s="16">
        <v>0.48</v>
      </c>
      <c r="E16" s="11">
        <f>($C16*$B$8)+($D16*$B$11)</f>
        <v>51509.815399999999</v>
      </c>
      <c r="F16" s="13">
        <v>1.4</v>
      </c>
      <c r="G16" s="19">
        <f>(F16*1000)*2.5%</f>
        <v>35</v>
      </c>
      <c r="H16" s="11">
        <f>($B$9*$F16)+($B$10*$G16)</f>
        <v>26617.5</v>
      </c>
      <c r="I16" s="25">
        <v>4</v>
      </c>
      <c r="J16" s="9">
        <f>$I16*$B$7</f>
        <v>1136.1600000000001</v>
      </c>
      <c r="K16" s="25">
        <v>4</v>
      </c>
      <c r="L16" s="9">
        <f>$K16*$B$6</f>
        <v>12574.88</v>
      </c>
      <c r="M16" s="25">
        <v>9</v>
      </c>
      <c r="N16" s="25">
        <v>3</v>
      </c>
      <c r="O16" s="25">
        <v>9</v>
      </c>
      <c r="P16" s="25">
        <v>9</v>
      </c>
      <c r="Q16" s="25">
        <f>48-28</f>
        <v>20</v>
      </c>
      <c r="R16" s="9">
        <f>(M16*$B$5)+(N16*$B$4)+(O16*$B$3)+(P16*$B$2)+(Q16*$B$1)</f>
        <v>16670.900000000001</v>
      </c>
      <c r="S16" s="9">
        <v>0</v>
      </c>
      <c r="T16" s="9">
        <f t="shared" si="1"/>
        <v>108509.25539999999</v>
      </c>
      <c r="U16" s="3">
        <v>0.75</v>
      </c>
      <c r="V16" s="4">
        <f>T16/(1-U16)</f>
        <v>434037.02159999998</v>
      </c>
      <c r="W16" s="5">
        <v>0.4</v>
      </c>
      <c r="X16" s="1">
        <f>V16/(1-W16)</f>
        <v>723395.03599999996</v>
      </c>
      <c r="Y16" s="1">
        <f>(V16/0.75)*1.19</f>
        <v>688672.07427199988</v>
      </c>
    </row>
    <row r="17" spans="1:25">
      <c r="A17" s="14" t="s">
        <v>183</v>
      </c>
      <c r="B17" s="17">
        <f>AVERAGE(B13:B16)</f>
        <v>1912275</v>
      </c>
      <c r="C17" s="34">
        <f>AVERAGE(C13:C16)</f>
        <v>10.507499999999999</v>
      </c>
      <c r="D17" s="34">
        <f t="shared" ref="D17" si="2">AVERAGE(D13:D16)</f>
        <v>0.53249999999999997</v>
      </c>
      <c r="E17" s="11">
        <f>AVERAGE(E13:E16)</f>
        <v>90027.440774999995</v>
      </c>
      <c r="F17" s="13">
        <f t="shared" ref="F17:J17" si="3">AVERAGE(F13:F16)</f>
        <v>2.5100000000000002</v>
      </c>
      <c r="G17" s="19">
        <f t="shared" si="3"/>
        <v>62.75</v>
      </c>
      <c r="H17" s="11">
        <f>AVERAGE(H13:H16)</f>
        <v>47721.375</v>
      </c>
      <c r="I17" s="25">
        <f t="shared" si="3"/>
        <v>4</v>
      </c>
      <c r="J17" s="11">
        <f t="shared" si="3"/>
        <v>1136.1600000000001</v>
      </c>
      <c r="K17" s="21"/>
      <c r="L17" s="15"/>
      <c r="M17" s="25"/>
      <c r="N17" s="15"/>
      <c r="O17" s="15"/>
      <c r="P17" s="15"/>
      <c r="Q17" s="15"/>
      <c r="R17" s="15"/>
      <c r="S17" s="15"/>
      <c r="T17" s="15"/>
      <c r="U17" s="3"/>
      <c r="V17" s="4"/>
      <c r="W17" s="5"/>
      <c r="X17" s="1"/>
      <c r="Y17" s="1"/>
    </row>
    <row r="18" spans="1:25">
      <c r="A18" s="6" t="s">
        <v>184</v>
      </c>
      <c r="B18" s="30">
        <f>1597000</f>
        <v>1597000</v>
      </c>
      <c r="C18" s="24">
        <f>($B$18*C17)/$B$17</f>
        <v>8.7751382515590048</v>
      </c>
      <c r="D18" s="24">
        <f>($B$18*D17)/$B$17</f>
        <v>0.44470722045730871</v>
      </c>
      <c r="E18" s="11">
        <f>($C18*$B$8)+($D18*$B$11)</f>
        <v>75184.70037922106</v>
      </c>
      <c r="F18" s="13">
        <f>($B$18*F17)/$B$17</f>
        <v>2.096178635395014</v>
      </c>
      <c r="G18" s="19">
        <f>(F18*1000)*2.5%</f>
        <v>52.404465884875357</v>
      </c>
      <c r="H18" s="11">
        <f>($B$9*$F18)+($B$10*$G18)</f>
        <v>39853.596305447703</v>
      </c>
      <c r="I18" s="25">
        <f>($B$18*I17)/$B$17</f>
        <v>3.3405237217450421</v>
      </c>
      <c r="J18" s="9">
        <f>$I18*$B$7</f>
        <v>948.84235792446179</v>
      </c>
      <c r="K18" s="32">
        <f>((165.5*2)+(60*4)+50+(48*3))/100</f>
        <v>7.65</v>
      </c>
      <c r="L18" s="9">
        <f>$K18*$B$6</f>
        <v>24049.457999999999</v>
      </c>
      <c r="M18" s="25">
        <f>4*4</f>
        <v>16</v>
      </c>
      <c r="N18" s="9">
        <f>2*4</f>
        <v>8</v>
      </c>
      <c r="O18" s="9">
        <f>M18</f>
        <v>16</v>
      </c>
      <c r="P18" s="9">
        <f>M18</f>
        <v>16</v>
      </c>
      <c r="Q18" s="9">
        <f>M18*2</f>
        <v>32</v>
      </c>
      <c r="R18" s="9">
        <f>(M18*$B$5)+(N18*$B$4)+(O18*$B$3)+(P18*$B$2)+(Q18*$B$1)</f>
        <v>31791.84</v>
      </c>
      <c r="S18" s="9">
        <f>12000+10000+20000</f>
        <v>42000</v>
      </c>
      <c r="T18" s="9">
        <f>L18+J18+H18+E18+R18+S18</f>
        <v>213828.43704259323</v>
      </c>
      <c r="U18" s="3">
        <v>0.75</v>
      </c>
      <c r="V18" s="4">
        <f t="shared" ref="V18" si="4">T18/(1-U18)</f>
        <v>855313.74817037291</v>
      </c>
      <c r="W18" s="5">
        <v>0.4</v>
      </c>
      <c r="X18" s="1">
        <f t="shared" ref="X18" si="5">V18/(1-W18)</f>
        <v>1425522.9136172882</v>
      </c>
      <c r="Y18" s="1">
        <f t="shared" ref="Y18" si="6">(V18/0.75)*1.19</f>
        <v>1357097.8137636583</v>
      </c>
    </row>
    <row r="20" spans="1:25">
      <c r="E20" s="31"/>
      <c r="W20" s="35"/>
    </row>
    <row r="24" spans="1:25">
      <c r="C24" s="23"/>
    </row>
    <row r="25" spans="1:25">
      <c r="C25" s="23"/>
      <c r="D25" s="44"/>
    </row>
    <row r="26" spans="1:25">
      <c r="C26" s="23"/>
    </row>
    <row r="27" spans="1:25">
      <c r="C27" s="23"/>
    </row>
    <row r="28" spans="1:25">
      <c r="C28" s="23"/>
    </row>
    <row r="29" spans="1:25">
      <c r="C29" s="23"/>
    </row>
    <row r="30" spans="1:25">
      <c r="C30" s="23"/>
    </row>
    <row r="31" spans="1:25">
      <c r="C31" s="23"/>
    </row>
    <row r="32" spans="1:25">
      <c r="C32" s="23"/>
    </row>
    <row r="33" spans="3:3">
      <c r="C33" s="23"/>
    </row>
    <row r="34" spans="3:3">
      <c r="C34" s="23"/>
    </row>
    <row r="35" spans="3:3">
      <c r="C35" s="23"/>
    </row>
    <row r="36" spans="3:3">
      <c r="C36" s="23"/>
    </row>
    <row r="37" spans="3:3">
      <c r="C37" s="23"/>
    </row>
    <row r="38" spans="3:3">
      <c r="C38" s="23"/>
    </row>
    <row r="39" spans="3:3">
      <c r="C39" s="23"/>
    </row>
    <row r="40" spans="3:3">
      <c r="C40" s="23"/>
    </row>
    <row r="41" spans="3:3">
      <c r="C41" s="23"/>
    </row>
    <row r="42" spans="3:3">
      <c r="C42" s="23"/>
    </row>
    <row r="43" spans="3:3">
      <c r="C43" s="23"/>
    </row>
    <row r="44" spans="3:3">
      <c r="C44" s="23"/>
    </row>
    <row r="45" spans="3:3">
      <c r="C45" s="23"/>
    </row>
    <row r="46" spans="3:3">
      <c r="C46" s="23"/>
    </row>
    <row r="47" spans="3:3">
      <c r="C47" s="23"/>
    </row>
    <row r="48" spans="3:3">
      <c r="C48" s="23"/>
    </row>
    <row r="49" spans="3:3">
      <c r="C49" s="23"/>
    </row>
    <row r="50" spans="3:3">
      <c r="C50" s="23"/>
    </row>
    <row r="51" spans="3:3">
      <c r="C51" s="23"/>
    </row>
    <row r="52" spans="3:3">
      <c r="C52" s="23"/>
    </row>
    <row r="53" spans="3:3">
      <c r="C53" s="23"/>
    </row>
    <row r="54" spans="3:3">
      <c r="C54" s="23"/>
    </row>
    <row r="55" spans="3:3">
      <c r="C55" s="23"/>
    </row>
    <row r="56" spans="3:3">
      <c r="C56" s="23"/>
    </row>
    <row r="57" spans="3:3">
      <c r="C57" s="23"/>
    </row>
    <row r="58" spans="3:3">
      <c r="C58" s="23"/>
    </row>
    <row r="59" spans="3:3">
      <c r="C59" s="23"/>
    </row>
    <row r="60" spans="3:3">
      <c r="C60" s="23"/>
    </row>
  </sheetData>
  <sheetProtection algorithmName="SHA-512" hashValue="Rjm/oM+M3InKpa6G+dML3iymdKvgI6Q5Im9+cDdOXpXxyVQJzeJZ/iguL6HayaYkJ2JZtCITHMUYG9Da6WHVkQ==" saltValue="A2qoRjYzAqCeQe4/P66HsQ==" spinCount="100000" sheet="1" objects="1" scenarios="1"/>
  <protectedRanges>
    <protectedRange sqref="U12:Y18" name="Rango1"/>
  </protectedRanges>
  <mergeCells count="1">
    <mergeCell ref="AA11:A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BD3B-F9B5-4EAA-9EDD-2B781103AFCB}">
  <dimension ref="A1:Y63"/>
  <sheetViews>
    <sheetView topLeftCell="A8" workbookViewId="0">
      <selection activeCell="D22" sqref="D22"/>
    </sheetView>
  </sheetViews>
  <sheetFormatPr defaultRowHeight="15"/>
  <cols>
    <col min="1" max="1" width="66.5703125" bestFit="1" customWidth="1"/>
    <col min="2" max="2" width="22.140625" bestFit="1" customWidth="1"/>
    <col min="3" max="3" width="24.5703125" customWidth="1"/>
    <col min="4" max="4" width="14.7109375" customWidth="1"/>
    <col min="5" max="5" width="15.140625" customWidth="1"/>
    <col min="6" max="6" width="11.5703125" bestFit="1" customWidth="1"/>
    <col min="7" max="7" width="18.85546875" bestFit="1" customWidth="1"/>
    <col min="8" max="8" width="15.7109375" bestFit="1" customWidth="1"/>
    <col min="9" max="9" width="14.140625" customWidth="1"/>
    <col min="10" max="10" width="18.85546875" bestFit="1" customWidth="1"/>
    <col min="11" max="11" width="22.42578125" customWidth="1"/>
    <col min="12" max="12" width="26.5703125" bestFit="1" customWidth="1"/>
    <col min="13" max="13" width="13.85546875" customWidth="1"/>
    <col min="14" max="14" width="14.85546875" customWidth="1"/>
    <col min="15" max="15" width="14.140625" customWidth="1"/>
    <col min="16" max="16" width="11" bestFit="1" customWidth="1"/>
    <col min="17" max="17" width="19" bestFit="1" customWidth="1"/>
    <col min="18" max="18" width="17.28515625" customWidth="1"/>
    <col min="19" max="19" width="11.85546875" bestFit="1" customWidth="1"/>
    <col min="20" max="21" width="25.85546875" customWidth="1"/>
    <col min="22" max="22" width="13.85546875" bestFit="1" customWidth="1"/>
    <col min="23" max="23" width="10.42578125" bestFit="1" customWidth="1"/>
    <col min="24" max="25" width="14.5703125" bestFit="1" customWidth="1"/>
  </cols>
  <sheetData>
    <row r="1" spans="1:25">
      <c r="A1" s="23" t="s">
        <v>151</v>
      </c>
      <c r="B1" s="29">
        <v>234.1</v>
      </c>
    </row>
    <row r="2" spans="1:25">
      <c r="A2" t="s">
        <v>152</v>
      </c>
      <c r="B2" s="29">
        <v>18.53</v>
      </c>
    </row>
    <row r="3" spans="1:25">
      <c r="A3" s="23" t="s">
        <v>153</v>
      </c>
      <c r="B3" s="29">
        <v>16.809999999999999</v>
      </c>
    </row>
    <row r="4" spans="1:25">
      <c r="A4" t="s">
        <v>154</v>
      </c>
      <c r="B4" s="29">
        <v>1120.1400000000001</v>
      </c>
    </row>
    <row r="5" spans="1:25">
      <c r="A5" t="s">
        <v>155</v>
      </c>
      <c r="B5" s="29">
        <v>923.38</v>
      </c>
    </row>
    <row r="6" spans="1:25">
      <c r="A6" s="23" t="s">
        <v>156</v>
      </c>
      <c r="B6" s="29">
        <f>2618.72+525</f>
        <v>3143.72</v>
      </c>
    </row>
    <row r="7" spans="1:25">
      <c r="A7" t="s">
        <v>157</v>
      </c>
      <c r="B7" s="26">
        <f>284.04</f>
        <v>284.04000000000002</v>
      </c>
      <c r="I7" s="18"/>
    </row>
    <row r="8" spans="1:25" ht="29.25">
      <c r="A8" s="23" t="s">
        <v>158</v>
      </c>
      <c r="B8" s="26">
        <v>8299.39</v>
      </c>
    </row>
    <row r="9" spans="1:25">
      <c r="A9" t="s">
        <v>159</v>
      </c>
      <c r="B9" s="26">
        <v>18050</v>
      </c>
    </row>
    <row r="10" spans="1:25">
      <c r="A10" t="s">
        <v>160</v>
      </c>
      <c r="B10" s="26">
        <v>38.5</v>
      </c>
    </row>
    <row r="11" spans="1:25">
      <c r="A11" t="s">
        <v>161</v>
      </c>
      <c r="B11" s="26">
        <v>5298.78</v>
      </c>
    </row>
    <row r="12" spans="1:25" ht="43.5">
      <c r="A12" s="6"/>
      <c r="B12" s="27" t="s">
        <v>104</v>
      </c>
      <c r="C12" s="28" t="s">
        <v>185</v>
      </c>
      <c r="D12" s="28" t="s">
        <v>164</v>
      </c>
      <c r="E12" s="28" t="s">
        <v>165</v>
      </c>
      <c r="F12" s="27" t="s">
        <v>105</v>
      </c>
      <c r="G12" s="27" t="s">
        <v>166</v>
      </c>
      <c r="H12" s="27" t="s">
        <v>167</v>
      </c>
      <c r="I12" s="28" t="s">
        <v>168</v>
      </c>
      <c r="J12" s="27" t="s">
        <v>169</v>
      </c>
      <c r="K12" s="28" t="s">
        <v>170</v>
      </c>
      <c r="L12" s="27" t="s">
        <v>171</v>
      </c>
      <c r="M12" s="28" t="s">
        <v>172</v>
      </c>
      <c r="N12" s="28" t="s">
        <v>173</v>
      </c>
      <c r="O12" s="28" t="s">
        <v>174</v>
      </c>
      <c r="P12" s="27" t="s">
        <v>175</v>
      </c>
      <c r="Q12" s="27" t="s">
        <v>176</v>
      </c>
      <c r="R12" s="28" t="s">
        <v>177</v>
      </c>
      <c r="S12" s="27" t="s">
        <v>178</v>
      </c>
      <c r="T12" s="28" t="s">
        <v>112</v>
      </c>
      <c r="U12" s="2" t="s">
        <v>113</v>
      </c>
      <c r="V12" s="2" t="s">
        <v>114</v>
      </c>
      <c r="W12" s="2" t="s">
        <v>115</v>
      </c>
      <c r="X12" s="2" t="s">
        <v>116</v>
      </c>
      <c r="Y12" s="2" t="s">
        <v>117</v>
      </c>
    </row>
    <row r="13" spans="1:25">
      <c r="A13" s="6" t="s">
        <v>186</v>
      </c>
      <c r="B13" s="16">
        <v>3384000</v>
      </c>
      <c r="C13" s="42">
        <v>24.34</v>
      </c>
      <c r="D13" s="42">
        <v>0.51</v>
      </c>
      <c r="E13" s="11">
        <f>($C13*$B$8)+($D13*$B$11)</f>
        <v>204709.53039999996</v>
      </c>
      <c r="F13" s="43">
        <v>5.51</v>
      </c>
      <c r="G13" s="19">
        <f>(F13*1000)*2.5%</f>
        <v>137.75</v>
      </c>
      <c r="H13" s="11">
        <f>($B$9*$F13)+($B$10*$G13)</f>
        <v>104758.875</v>
      </c>
      <c r="I13" s="25"/>
      <c r="J13" s="9"/>
      <c r="K13" s="25"/>
      <c r="L13" s="9"/>
      <c r="M13" s="25"/>
      <c r="N13" s="25"/>
      <c r="O13" s="25"/>
      <c r="P13" s="25"/>
      <c r="Q13" s="25"/>
      <c r="R13" s="9"/>
      <c r="S13" s="9"/>
      <c r="T13" s="9"/>
      <c r="U13" s="3"/>
      <c r="V13" s="4"/>
      <c r="W13" s="5"/>
      <c r="X13" s="1"/>
      <c r="Y13" s="1"/>
    </row>
    <row r="14" spans="1:25">
      <c r="A14" s="6" t="s">
        <v>187</v>
      </c>
      <c r="B14" s="16">
        <v>3564000</v>
      </c>
      <c r="C14" s="42">
        <v>19.18</v>
      </c>
      <c r="D14" s="42">
        <v>0.67</v>
      </c>
      <c r="E14" s="11">
        <f>($C14*$B$8)+($D14*$B$11)</f>
        <v>162732.4828</v>
      </c>
      <c r="F14" s="43">
        <v>4.62</v>
      </c>
      <c r="G14" s="19">
        <f>(F14*1000)*2.5%</f>
        <v>115.5</v>
      </c>
      <c r="H14" s="11">
        <f>($B$9*$F14)+($B$10*$G14)</f>
        <v>87837.75</v>
      </c>
      <c r="I14" s="25"/>
      <c r="J14" s="9"/>
      <c r="K14" s="19"/>
      <c r="L14" s="9"/>
      <c r="M14" s="25"/>
      <c r="N14" s="25"/>
      <c r="O14" s="25"/>
      <c r="P14" s="25"/>
      <c r="Q14" s="25"/>
      <c r="R14" s="9"/>
      <c r="S14" s="9"/>
      <c r="T14" s="9"/>
      <c r="U14" s="3"/>
      <c r="V14" s="4"/>
      <c r="W14" s="5"/>
      <c r="X14" s="1"/>
      <c r="Y14" s="1"/>
    </row>
    <row r="15" spans="1:25">
      <c r="A15" s="6" t="s">
        <v>188</v>
      </c>
      <c r="B15" s="16">
        <v>3407000</v>
      </c>
      <c r="C15" s="42">
        <v>20</v>
      </c>
      <c r="D15" s="42">
        <v>0.22</v>
      </c>
      <c r="E15" s="11">
        <f>($C15*$B$8)+($D15*$B$11)</f>
        <v>167153.53159999999</v>
      </c>
      <c r="F15" s="43">
        <v>4.8499999999999996</v>
      </c>
      <c r="G15" s="19">
        <f>(F15*1000)*2.5%</f>
        <v>121.25</v>
      </c>
      <c r="H15" s="11">
        <f>($B$9*$F15)+($B$10*$G15)</f>
        <v>92210.625</v>
      </c>
      <c r="I15" s="45">
        <v>4.0199999999999996</v>
      </c>
      <c r="J15" s="9">
        <f>$I15*$B$7</f>
        <v>1141.8407999999999</v>
      </c>
      <c r="K15" s="19">
        <v>0</v>
      </c>
      <c r="L15" s="9">
        <f>$K15*$B$6</f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9">
        <f>(M15*$B$5)+(N15*$B$4)+(O15*$B$3)+(P15*$B$2)+(Q15*$B$1)</f>
        <v>0</v>
      </c>
      <c r="S15" s="9">
        <v>0</v>
      </c>
      <c r="T15" s="9">
        <f t="shared" ref="T14:T16" si="0">L15+J15+H15+E15+R15+S15</f>
        <v>260505.99739999999</v>
      </c>
      <c r="U15" s="3">
        <v>0.75</v>
      </c>
      <c r="V15" s="4">
        <f>T15/(1-U15)</f>
        <v>1042023.9896</v>
      </c>
      <c r="W15" s="5">
        <v>0.4</v>
      </c>
      <c r="X15" s="1">
        <f>V15/(1-W15)</f>
        <v>1736706.6493333334</v>
      </c>
      <c r="Y15" s="1">
        <f>(V15/0.75)*1.19</f>
        <v>1653344.730165333</v>
      </c>
    </row>
    <row r="16" spans="1:25">
      <c r="A16" s="41" t="s">
        <v>189</v>
      </c>
      <c r="B16" s="16">
        <v>3268000</v>
      </c>
      <c r="C16" s="42">
        <v>22.3</v>
      </c>
      <c r="D16" s="42">
        <v>0.33</v>
      </c>
      <c r="E16" s="11">
        <f>($C16*$B$8)+($D16*$B$11)</f>
        <v>186824.9944</v>
      </c>
      <c r="F16" s="43">
        <v>5.0999999999999996</v>
      </c>
      <c r="G16" s="19">
        <f>(F16*1000)*2.5%</f>
        <v>127.5</v>
      </c>
      <c r="H16" s="11">
        <f>($B$9*$F16)+($B$10*$G16)</f>
        <v>96963.75</v>
      </c>
      <c r="I16" s="45">
        <v>6.94</v>
      </c>
      <c r="J16" s="9">
        <f>$I16*$B$7</f>
        <v>1971.2376000000002</v>
      </c>
      <c r="K16" s="25"/>
      <c r="L16" s="9"/>
      <c r="M16" s="25"/>
      <c r="N16" s="25"/>
      <c r="O16" s="25"/>
      <c r="P16" s="25"/>
      <c r="Q16" s="25"/>
      <c r="R16" s="9"/>
      <c r="S16" s="9"/>
      <c r="T16" s="9"/>
      <c r="U16" s="3"/>
      <c r="V16" s="4"/>
      <c r="W16" s="5"/>
      <c r="X16" s="1"/>
      <c r="Y16" s="1"/>
    </row>
    <row r="17" spans="1:25">
      <c r="A17" s="41" t="s">
        <v>190</v>
      </c>
      <c r="B17" s="57">
        <v>6311000</v>
      </c>
      <c r="C17" s="42">
        <v>48.4</v>
      </c>
      <c r="D17" s="42">
        <v>0.97</v>
      </c>
      <c r="E17" s="11">
        <f>($C17*$B$8)+($D17*$B$11)</f>
        <v>406830.29259999999</v>
      </c>
      <c r="F17" s="43">
        <v>8.5</v>
      </c>
      <c r="G17" s="19">
        <f>(F17*1000)*2.5%</f>
        <v>212.5</v>
      </c>
      <c r="H17" s="11">
        <f>($B$9*$F17)+($B$10*$G17)</f>
        <v>161606.25</v>
      </c>
      <c r="I17" s="45">
        <v>14</v>
      </c>
      <c r="J17" s="9">
        <f>$I17*$B$7</f>
        <v>3976.5600000000004</v>
      </c>
      <c r="K17" s="25"/>
      <c r="L17" s="9"/>
      <c r="M17" s="25"/>
      <c r="N17" s="25"/>
      <c r="O17" s="25"/>
      <c r="P17" s="25"/>
      <c r="Q17" s="25"/>
      <c r="R17" s="9"/>
      <c r="S17" s="9"/>
      <c r="T17" s="9"/>
      <c r="U17" s="3"/>
      <c r="V17" s="4"/>
      <c r="W17" s="5"/>
      <c r="X17" s="1"/>
      <c r="Y17" s="1"/>
    </row>
    <row r="18" spans="1:25">
      <c r="A18" s="6" t="s">
        <v>191</v>
      </c>
      <c r="B18" s="16">
        <f>AVERAGE(B13:B17)</f>
        <v>3986800</v>
      </c>
      <c r="C18" s="24">
        <f>AVERAGE(C13:C17)</f>
        <v>26.844000000000001</v>
      </c>
      <c r="D18" s="58">
        <f>AVERAGE(D13:D17)</f>
        <v>0.54</v>
      </c>
      <c r="E18" s="11">
        <f>AVERAGE(E13:E17)</f>
        <v>225650.16635999997</v>
      </c>
      <c r="F18" s="13">
        <f>AVERAGE(F13:F17)</f>
        <v>5.7159999999999993</v>
      </c>
      <c r="G18" s="19">
        <f>AVERAGE(G13:G16)</f>
        <v>125.5</v>
      </c>
      <c r="H18" s="11">
        <f>AVERAGE(H13:H17)</f>
        <v>108675.45</v>
      </c>
      <c r="I18" s="25">
        <f>AVERAGE(I13:I17)</f>
        <v>8.32</v>
      </c>
      <c r="J18" s="11">
        <f t="shared" ref="F18:J18" si="1">AVERAGE(J13:J16)</f>
        <v>1556.5392000000002</v>
      </c>
      <c r="K18" s="19"/>
      <c r="L18" s="11"/>
      <c r="M18" s="25"/>
      <c r="N18" s="11"/>
      <c r="O18" s="11"/>
      <c r="P18" s="11"/>
      <c r="Q18" s="11"/>
      <c r="R18" s="11"/>
      <c r="S18" s="11"/>
      <c r="T18" s="11"/>
      <c r="U18" s="3"/>
      <c r="V18" s="4"/>
      <c r="W18" s="5"/>
      <c r="X18" s="1"/>
      <c r="Y18" s="1"/>
    </row>
    <row r="19" spans="1:25">
      <c r="A19" s="6" t="s">
        <v>192</v>
      </c>
      <c r="B19" s="42">
        <v>4506000</v>
      </c>
      <c r="C19" s="46">
        <f>(B19*$C$18)/$B$18</f>
        <v>30.339887629176282</v>
      </c>
      <c r="D19" s="46">
        <f>(B19*$D$18)/$B$18</f>
        <v>0.6103240694291161</v>
      </c>
      <c r="E19" s="11">
        <f>($C19*$B$8)+($D19*$B$11)</f>
        <v>255036.53296331892</v>
      </c>
      <c r="F19" s="43">
        <f>(B19*$F$18)/$B$18</f>
        <v>6.4603932978830132</v>
      </c>
      <c r="G19" s="19">
        <f>(F19*1000)*2.5%</f>
        <v>161.50983244707535</v>
      </c>
      <c r="H19" s="11">
        <f>($B$9*$F19)+($B$10*$G19)</f>
        <v>122828.22757600079</v>
      </c>
      <c r="I19" s="45">
        <f>($B$19*I18)/$B$18</f>
        <v>9.4035115882411962</v>
      </c>
      <c r="J19" s="9">
        <f>$I19*$B$7</f>
        <v>2670.9734315240294</v>
      </c>
      <c r="K19" s="32">
        <f>((165.5*2)+(60*4)+50+(48*3))/100</f>
        <v>7.65</v>
      </c>
      <c r="L19" s="9">
        <f>$K19*$B$6</f>
        <v>24049.457999999999</v>
      </c>
      <c r="M19" s="25">
        <f>4*4</f>
        <v>16</v>
      </c>
      <c r="N19" s="9">
        <f>2*4</f>
        <v>8</v>
      </c>
      <c r="O19" s="9">
        <f>M19</f>
        <v>16</v>
      </c>
      <c r="P19" s="9">
        <f>M19</f>
        <v>16</v>
      </c>
      <c r="Q19" s="9">
        <f>M19*2</f>
        <v>32</v>
      </c>
      <c r="R19" s="9">
        <f>(M19*$B$5)+(N19*$B$4)+(O19*$B$3)+(P19*$B$2)+(Q19*$B$1)</f>
        <v>31791.84</v>
      </c>
      <c r="S19" s="9">
        <f>12000+10000+20000</f>
        <v>42000</v>
      </c>
      <c r="T19" s="9">
        <f>L19+J19+H19+E19+R19+S19</f>
        <v>478377.03197084373</v>
      </c>
      <c r="U19" s="3">
        <v>0.75</v>
      </c>
      <c r="V19" s="4">
        <f t="shared" ref="V19" si="2">T19/(1-U19)</f>
        <v>1913508.1278833749</v>
      </c>
      <c r="W19" s="5">
        <v>0.4</v>
      </c>
      <c r="X19" s="1">
        <f t="shared" ref="X19" si="3">V19/(1-W19)</f>
        <v>3189180.2131389584</v>
      </c>
      <c r="Y19" s="1">
        <f t="shared" ref="Y19" si="4">(V19/0.75)*1.19</f>
        <v>3036099.5629082881</v>
      </c>
    </row>
    <row r="20" spans="1:25">
      <c r="A20" s="6" t="s">
        <v>193</v>
      </c>
      <c r="B20" s="57">
        <v>3415000</v>
      </c>
      <c r="C20" s="46">
        <f>(B20*$C$18)/$B$18</f>
        <v>22.993945018561252</v>
      </c>
      <c r="D20" s="46">
        <f>(B20*$D$18)/$B$18</f>
        <v>0.46255141968496044</v>
      </c>
      <c r="E20" s="11">
        <f>($C20*'Costos Insumos'!$E$35)+($D20*$B$11)</f>
        <v>209050.86438502057</v>
      </c>
      <c r="F20" s="43">
        <f>(B20*$F$18)/$B$18</f>
        <v>4.8961924350356165</v>
      </c>
      <c r="G20" s="19">
        <f>(F20*1000)*2.5%</f>
        <v>122.40481087589042</v>
      </c>
      <c r="H20" s="11">
        <f>($B$9*$F20)+($B$10*$G20)</f>
        <v>93088.858671114664</v>
      </c>
      <c r="I20" s="45">
        <f>($B$19*I19)/$B$18</f>
        <v>10.628128628628179</v>
      </c>
      <c r="J20" s="9">
        <f>$I20*$B$7</f>
        <v>3018.813655675548</v>
      </c>
      <c r="K20" s="32">
        <f>((165.5*2)+(60*4)+50+(48*3))/100</f>
        <v>7.65</v>
      </c>
      <c r="L20" s="9">
        <f>$K20*$B$6</f>
        <v>24049.457999999999</v>
      </c>
      <c r="M20" s="25">
        <f>4*4</f>
        <v>16</v>
      </c>
      <c r="N20" s="9">
        <f>2*4</f>
        <v>8</v>
      </c>
      <c r="O20" s="9">
        <f>M20</f>
        <v>16</v>
      </c>
      <c r="P20" s="9">
        <f>M20</f>
        <v>16</v>
      </c>
      <c r="Q20" s="9">
        <f>M20*2</f>
        <v>32</v>
      </c>
      <c r="R20" s="9">
        <f>(M20*$B$5)+(N20*$B$4)+(O20*$B$3)+(P20*$B$2)+(Q20*$B$1)</f>
        <v>31791.84</v>
      </c>
      <c r="S20" s="9">
        <f>12000+10000+20000</f>
        <v>42000</v>
      </c>
      <c r="T20" s="9">
        <f>L20+J20+H20+E20+R20+S20</f>
        <v>402999.83471181081</v>
      </c>
    </row>
    <row r="21" spans="1:25">
      <c r="A21" s="6" t="s">
        <v>194</v>
      </c>
      <c r="B21" s="57">
        <v>5223000</v>
      </c>
      <c r="C21" s="46">
        <f>(B21*$C$18)/$B$18</f>
        <v>35.167606100130428</v>
      </c>
      <c r="D21" s="46">
        <f>(B21*$D$18)/$B$18</f>
        <v>0.70743955051670515</v>
      </c>
      <c r="E21" s="11">
        <f>($C21*'Costos Insumos'!$E$35)+($D21*$B$11)</f>
        <v>319728.45232297573</v>
      </c>
      <c r="F21" s="43">
        <f>(B21*$F$18)/$B$18</f>
        <v>7.4883786495434927</v>
      </c>
      <c r="G21" s="19">
        <f>(F21*1000)*2.5%</f>
        <v>187.20946623858731</v>
      </c>
      <c r="H21" s="11">
        <f>($B$9*$F21)+($B$10*$G21)</f>
        <v>142372.79907444565</v>
      </c>
      <c r="I21" s="45">
        <f>($B$19*I20)/$B$18</f>
        <v>12.01222725007489</v>
      </c>
      <c r="J21" s="9">
        <f>$I21*$B$7</f>
        <v>3411.953028111272</v>
      </c>
      <c r="K21" s="32">
        <f>((165.5*2)+(60*4)+50+(48*3))/100</f>
        <v>7.65</v>
      </c>
      <c r="L21" s="9">
        <f>$K21*$B$6</f>
        <v>24049.457999999999</v>
      </c>
      <c r="M21" s="25">
        <f>4*4</f>
        <v>16</v>
      </c>
      <c r="N21" s="9">
        <f>2*4</f>
        <v>8</v>
      </c>
      <c r="O21" s="9">
        <f>M21</f>
        <v>16</v>
      </c>
      <c r="P21" s="9">
        <f>M21</f>
        <v>16</v>
      </c>
      <c r="Q21" s="9">
        <f>M21*2</f>
        <v>32</v>
      </c>
      <c r="R21" s="9">
        <f>(M21*$B$5)+(N21*$B$4)+(O21*$B$3)+(P21*$B$2)+(Q21*$B$1)</f>
        <v>31791.84</v>
      </c>
      <c r="S21" s="9">
        <f>12000+10000+20000</f>
        <v>42000</v>
      </c>
      <c r="T21" s="9">
        <f>L21+J21+H21+E21+R21+S21</f>
        <v>563354.50242553267</v>
      </c>
    </row>
    <row r="24" spans="1:25">
      <c r="C24" s="44"/>
    </row>
    <row r="26" spans="1:25">
      <c r="C26" s="44"/>
    </row>
    <row r="27" spans="1:25">
      <c r="C27" s="44"/>
    </row>
    <row r="28" spans="1:25">
      <c r="C28" s="44"/>
    </row>
    <row r="29" spans="1:25">
      <c r="B29" t="s">
        <v>195</v>
      </c>
    </row>
    <row r="30" spans="1:25">
      <c r="B30" t="s">
        <v>196</v>
      </c>
      <c r="C30">
        <v>5223000</v>
      </c>
    </row>
    <row r="31" spans="1:25">
      <c r="B31" t="s">
        <v>197</v>
      </c>
      <c r="C31" t="s">
        <v>198</v>
      </c>
    </row>
    <row r="32" spans="1:25">
      <c r="B32" t="s">
        <v>199</v>
      </c>
      <c r="C32" t="s">
        <v>200</v>
      </c>
    </row>
    <row r="33" spans="2:4">
      <c r="B33" t="s">
        <v>201</v>
      </c>
      <c r="C33" t="s">
        <v>202</v>
      </c>
    </row>
    <row r="34" spans="2:4">
      <c r="B34" t="s">
        <v>203</v>
      </c>
      <c r="C34" t="s">
        <v>204</v>
      </c>
    </row>
    <row r="35" spans="2:4">
      <c r="B35" t="s">
        <v>205</v>
      </c>
      <c r="C35" t="s">
        <v>206</v>
      </c>
    </row>
    <row r="37" spans="2:4">
      <c r="B37" t="s">
        <v>207</v>
      </c>
    </row>
    <row r="38" spans="2:4">
      <c r="C38" t="s">
        <v>208</v>
      </c>
      <c r="D38" t="s">
        <v>209</v>
      </c>
    </row>
    <row r="39" spans="2:4">
      <c r="C39" t="s">
        <v>210</v>
      </c>
      <c r="D39" t="s">
        <v>211</v>
      </c>
    </row>
    <row r="40" spans="2:4">
      <c r="C40" t="s">
        <v>212</v>
      </c>
      <c r="D40" t="s">
        <v>213</v>
      </c>
    </row>
    <row r="41" spans="2:4">
      <c r="B41" t="s">
        <v>214</v>
      </c>
      <c r="C41" t="s">
        <v>215</v>
      </c>
    </row>
    <row r="43" spans="2:4">
      <c r="B43" t="s">
        <v>216</v>
      </c>
    </row>
    <row r="44" spans="2:4">
      <c r="C44" t="s">
        <v>217</v>
      </c>
    </row>
    <row r="45" spans="2:4">
      <c r="C45" t="s">
        <v>218</v>
      </c>
    </row>
    <row r="46" spans="2:4">
      <c r="C46" t="s">
        <v>219</v>
      </c>
    </row>
    <row r="47" spans="2:4">
      <c r="C47" t="s">
        <v>220</v>
      </c>
    </row>
    <row r="48" spans="2:4">
      <c r="C48" t="s">
        <v>221</v>
      </c>
    </row>
    <row r="49" spans="2:3">
      <c r="C49" t="s">
        <v>222</v>
      </c>
    </row>
    <row r="50" spans="2:3">
      <c r="C50" t="s">
        <v>223</v>
      </c>
    </row>
    <row r="51" spans="2:3">
      <c r="C51" t="s">
        <v>224</v>
      </c>
    </row>
    <row r="52" spans="2:3">
      <c r="C52" t="s">
        <v>225</v>
      </c>
    </row>
    <row r="54" spans="2:3">
      <c r="B54" t="s">
        <v>226</v>
      </c>
    </row>
    <row r="55" spans="2:3">
      <c r="C55" t="s">
        <v>217</v>
      </c>
    </row>
    <row r="56" spans="2:3">
      <c r="C56" t="s">
        <v>218</v>
      </c>
    </row>
    <row r="57" spans="2:3">
      <c r="C57" t="s">
        <v>219</v>
      </c>
    </row>
    <row r="58" spans="2:3">
      <c r="C58" t="s">
        <v>220</v>
      </c>
    </row>
    <row r="59" spans="2:3">
      <c r="C59" t="s">
        <v>221</v>
      </c>
    </row>
    <row r="60" spans="2:3">
      <c r="C60" t="s">
        <v>222</v>
      </c>
    </row>
    <row r="61" spans="2:3">
      <c r="C61" t="s">
        <v>223</v>
      </c>
    </row>
    <row r="62" spans="2:3">
      <c r="C62" t="s">
        <v>224</v>
      </c>
    </row>
    <row r="63" spans="2:3">
      <c r="C63" t="s">
        <v>225</v>
      </c>
    </row>
  </sheetData>
  <sheetProtection algorithmName="SHA-512" hashValue="CCXZoU3KanrB7xI8byHHnMyXZ8TwZyldhaRZ+Q24rTUqjP5YhlYndfzfaWTCVByEhsx214e2Quafw9A6elgjwA==" saltValue="/yTa3eusznUEEI6KN/LwJA==" spinCount="100000" sheet="1" objects="1" scenarios="1"/>
  <protectedRanges>
    <protectedRange sqref="U12:Y19" name="Rango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Oswaldo Rivera Taborda</dc:creator>
  <cp:keywords/>
  <dc:description/>
  <cp:lastModifiedBy/>
  <cp:revision/>
  <dcterms:created xsi:type="dcterms:W3CDTF">2024-04-05T22:28:15Z</dcterms:created>
  <dcterms:modified xsi:type="dcterms:W3CDTF">2026-08-10T19:28:03Z</dcterms:modified>
  <cp:category/>
  <cp:contentStatus/>
</cp:coreProperties>
</file>