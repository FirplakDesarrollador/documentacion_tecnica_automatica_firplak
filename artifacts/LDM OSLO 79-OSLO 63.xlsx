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rplaksa.sharepoint.com/sites/EjecucinIngeniera/Shared Documents/SAP/Estructuras Mármol Sintético/"/>
    </mc:Choice>
  </mc:AlternateContent>
  <xr:revisionPtr revIDLastSave="0" documentId="8_{E835EE7E-B5F1-4EA4-9CC2-77496C13A696}" xr6:coauthVersionLast="47" xr6:coauthVersionMax="47" xr10:uidLastSave="{00000000-0000-0000-0000-000000000000}"/>
  <bookViews>
    <workbookView minimized="1" xWindow="2772" yWindow="696" windowWidth="22596" windowHeight="8844" firstSheet="3" activeTab="3" xr2:uid="{00000000-000D-0000-FFFF-FFFF00000000}"/>
  </bookViews>
  <sheets>
    <sheet name="OSLO 79X53" sheetId="5" r:id="rId1"/>
    <sheet name="OSLO 79X53 2" sheetId="9" r:id="rId2"/>
    <sheet name="OSLO 79" sheetId="1" r:id="rId3"/>
    <sheet name="OSLO 63" sheetId="8" r:id="rId4"/>
  </sheets>
  <definedNames>
    <definedName name="_xlnm._FilterDatabase" localSheetId="3" hidden="1">'OSLO 63'!$A$1:$K$20</definedName>
    <definedName name="_xlnm._FilterDatabase" localSheetId="2" hidden="1">'OSLO 79'!$A$1:$J$23</definedName>
    <definedName name="_xlnm._FilterDatabase" localSheetId="1" hidden="1">'OSLO 79X53 2'!$A$1:$J$20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12" i="1"/>
  <c r="E11" i="1"/>
  <c r="N4" i="9"/>
  <c r="G3" i="9"/>
  <c r="H3" i="9"/>
  <c r="I3" i="9"/>
  <c r="K18" i="9"/>
  <c r="K4" i="9"/>
  <c r="N6" i="9"/>
  <c r="K21" i="9"/>
  <c r="K22" i="9"/>
  <c r="K20" i="9"/>
  <c r="K15" i="9"/>
  <c r="K16" i="9"/>
  <c r="K17" i="9"/>
  <c r="K19" i="9"/>
  <c r="K9" i="9"/>
  <c r="K10" i="9"/>
  <c r="K11" i="9"/>
  <c r="K12" i="9"/>
  <c r="K13" i="9"/>
  <c r="K14" i="9"/>
  <c r="K8" i="9"/>
  <c r="K6" i="9"/>
  <c r="K5" i="9"/>
  <c r="E6" i="5"/>
  <c r="E5" i="5"/>
  <c r="E13" i="5"/>
  <c r="E12" i="5"/>
  <c r="E11" i="5"/>
  <c r="E10" i="5"/>
  <c r="E9" i="5"/>
  <c r="E8" i="5"/>
  <c r="E7" i="5"/>
</calcChain>
</file>

<file path=xl/sharedStrings.xml><?xml version="1.0" encoding="utf-8"?>
<sst xmlns="http://schemas.openxmlformats.org/spreadsheetml/2006/main" count="255" uniqueCount="68">
  <si>
    <t>VBAN01-0046-000-0100</t>
  </si>
  <si>
    <t>LAVAMANOS OSLO 79X48 BRILLANTE BLANCO</t>
  </si>
  <si>
    <t>Nº</t>
  </si>
  <si>
    <t>Descripción</t>
  </si>
  <si>
    <t>Cantidad</t>
  </si>
  <si>
    <t>Nombre de unidad de medida</t>
  </si>
  <si>
    <t>Area nueva</t>
  </si>
  <si>
    <t>Area</t>
  </si>
  <si>
    <t>PZCO01-0002-000-0000</t>
  </si>
  <si>
    <t>CIF POR MINUTO</t>
  </si>
  <si>
    <t>MIN</t>
  </si>
  <si>
    <t>PZCO01-0001-000-0000</t>
  </si>
  <si>
    <t>MANO OBRA POR MIN MARMOL SINTETICO</t>
  </si>
  <si>
    <t>PINP01-0006-000-0000</t>
  </si>
  <si>
    <t>MEZCLA POLIMERO COLADO</t>
  </si>
  <si>
    <t>KG</t>
  </si>
  <si>
    <t>CMPD01-0020-000-0000</t>
  </si>
  <si>
    <t>CRISTALAN 13 3750 (M202 MARRON)</t>
  </si>
  <si>
    <t>0.2</t>
  </si>
  <si>
    <t>CMPD01-0016-000-0000</t>
  </si>
  <si>
    <t>PEROXIDO MEK 925H</t>
  </si>
  <si>
    <t>GR</t>
  </si>
  <si>
    <t>CMPD02-0011-000-0000</t>
  </si>
  <si>
    <t>MEZCLA CARBONATO DE CALCIO 15 Y 30-140 (mezcla 11)</t>
  </si>
  <si>
    <t>0.8</t>
  </si>
  <si>
    <t>16.75</t>
  </si>
  <si>
    <t>CEMP02-0250-000-0000</t>
  </si>
  <si>
    <t>INSTRUCCIONES LAVAMANOS ESP/ING NUEVA CON INSTR PERF Y CUIDADO</t>
  </si>
  <si>
    <t>UN</t>
  </si>
  <si>
    <t>PGEL01-0003-000-0100</t>
  </si>
  <si>
    <t>GEL COAT BLANCO 888 EN PROCESO</t>
  </si>
  <si>
    <t>0.67</t>
  </si>
  <si>
    <t>CEMP02-0252-000-0000</t>
  </si>
  <si>
    <t>CAJA LVM OSLO 79X48 (31X19IN)</t>
  </si>
  <si>
    <t>CEMP02-0226-000-0000</t>
  </si>
  <si>
    <t>ETIQUETA REVISION CALIDAD PC</t>
  </si>
  <si>
    <t>Codigo</t>
  </si>
  <si>
    <t>Descripcion</t>
  </si>
  <si>
    <t>UnidadMedida</t>
  </si>
  <si>
    <t>Nivel</t>
  </si>
  <si>
    <t>Costo_Unitario</t>
  </si>
  <si>
    <t>Costo_Mp</t>
  </si>
  <si>
    <t>Costo_Mo</t>
  </si>
  <si>
    <t>Costo_Cif</t>
  </si>
  <si>
    <t>Costo_Total</t>
  </si>
  <si>
    <t>margen</t>
  </si>
  <si>
    <t xml:space="preserve">precio </t>
  </si>
  <si>
    <t>dolar</t>
  </si>
  <si>
    <t>precio USD</t>
  </si>
  <si>
    <t>CMPD02-0001-000-0000</t>
  </si>
  <si>
    <t>CARBONATO DE CALCIO (OMYACARB 15 CG 25)</t>
  </si>
  <si>
    <t>CMPD02-0010-000-0000</t>
  </si>
  <si>
    <t>CARBONATO DE CALCIO GRANICALCIO 30-140</t>
  </si>
  <si>
    <t>PZCO01-0008-000-0000</t>
  </si>
  <si>
    <t>SERVICIO MEZCLA CARBONATO</t>
  </si>
  <si>
    <t>PZCO01-0009-000-0000</t>
  </si>
  <si>
    <t>TRANSPORTE CARBONATO</t>
  </si>
  <si>
    <t>GELCOAT BLANCO 888 EN PROCESO</t>
  </si>
  <si>
    <t>CMPD01-0022-000-0000</t>
  </si>
  <si>
    <t>GELCOAT BLANCO 898GC/ 5-2899W</t>
  </si>
  <si>
    <t>CAJA LVM OSLO 79X48 (31X19IN) FPK</t>
  </si>
  <si>
    <t>LAMINA DE CARTON</t>
  </si>
  <si>
    <t>HONEYCOMB</t>
  </si>
  <si>
    <t>ETIQUETA PRODUCTO</t>
  </si>
  <si>
    <t>VBAN01-0047-000-0100</t>
  </si>
  <si>
    <t>LAVAMANOS OSLO 63X48 BRILLANTE BLANCO</t>
  </si>
  <si>
    <t>CEMP02-0253-000-0000</t>
  </si>
  <si>
    <t>CAJA LVM GENOVA 63X48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</si>
</sst>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_(* #,##0_);_(* \(#,##0\);_(* &quot;-&quot;??_);_(@_)"/>
    <numFmt numFmtId="167" formatCode="[$USD]\ 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165" fontId="0" fillId="0" borderId="1" xfId="1" applyNumberFormat="1" applyFont="1" applyBorder="1"/>
    <xf numFmtId="165" fontId="0" fillId="0" borderId="0" xfId="1" applyNumberFormat="1" applyFont="1"/>
    <xf numFmtId="0" fontId="1" fillId="4" borderId="1" xfId="0" applyFont="1" applyFill="1" applyBorder="1"/>
    <xf numFmtId="0" fontId="1" fillId="5" borderId="1" xfId="0" applyFont="1" applyFill="1" applyBorder="1"/>
    <xf numFmtId="165" fontId="1" fillId="5" borderId="1" xfId="1" applyNumberFormat="1" applyFont="1" applyFill="1" applyBorder="1"/>
    <xf numFmtId="0" fontId="1" fillId="0" borderId="1" xfId="0" applyFont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6" borderId="1" xfId="0" applyFont="1" applyFill="1" applyBorder="1"/>
    <xf numFmtId="165" fontId="0" fillId="0" borderId="0" xfId="0" applyNumberFormat="1"/>
    <xf numFmtId="44" fontId="0" fillId="0" borderId="0" xfId="0" applyNumberFormat="1"/>
    <xf numFmtId="165" fontId="1" fillId="5" borderId="3" xfId="1" applyNumberFormat="1" applyFont="1" applyFill="1" applyBorder="1"/>
    <xf numFmtId="165" fontId="0" fillId="5" borderId="2" xfId="0" applyNumberFormat="1" applyFill="1" applyBorder="1"/>
    <xf numFmtId="9" fontId="0" fillId="0" borderId="0" xfId="0" applyNumberFormat="1"/>
    <xf numFmtId="3" fontId="0" fillId="0" borderId="0" xfId="0" applyNumberFormat="1"/>
    <xf numFmtId="166" fontId="1" fillId="3" borderId="1" xfId="0" applyNumberFormat="1" applyFont="1" applyFill="1" applyBorder="1" applyAlignment="1">
      <alignment horizontal="center"/>
    </xf>
    <xf numFmtId="9" fontId="0" fillId="0" borderId="0" xfId="1" applyNumberFormat="1" applyFont="1" applyAlignment="1">
      <alignment horizontal="center"/>
    </xf>
    <xf numFmtId="167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9C28-A317-4567-B17D-DB652C3F4A69}">
  <dimension ref="A1:E15"/>
  <sheetViews>
    <sheetView workbookViewId="0">
      <selection activeCell="A3" sqref="A3:E4"/>
    </sheetView>
  </sheetViews>
  <sheetFormatPr defaultColWidth="9.140625" defaultRowHeight="15"/>
  <cols>
    <col min="1" max="1" width="21.7109375" bestFit="1" customWidth="1"/>
    <col min="2" max="2" width="68" bestFit="1" customWidth="1"/>
    <col min="3" max="3" width="8.85546875" style="7" bestFit="1" customWidth="1"/>
    <col min="4" max="4" width="27.85546875" bestFit="1" customWidth="1"/>
  </cols>
  <sheetData>
    <row r="1" spans="1:5">
      <c r="A1" s="3" t="s">
        <v>0</v>
      </c>
      <c r="B1" s="27" t="s">
        <v>1</v>
      </c>
      <c r="C1" s="27"/>
      <c r="D1" s="27"/>
    </row>
    <row r="2" spans="1:5">
      <c r="A2" s="4" t="s">
        <v>2</v>
      </c>
      <c r="B2" s="4" t="s">
        <v>3</v>
      </c>
      <c r="C2" s="5" t="s">
        <v>4</v>
      </c>
      <c r="D2" s="4" t="s">
        <v>5</v>
      </c>
    </row>
    <row r="3" spans="1:5">
      <c r="A3" s="4" t="s">
        <v>6</v>
      </c>
      <c r="B3" s="4">
        <v>740987.97</v>
      </c>
      <c r="C3" s="5"/>
      <c r="D3" s="4"/>
    </row>
    <row r="4" spans="1:5">
      <c r="A4" s="4" t="s">
        <v>7</v>
      </c>
      <c r="B4" s="4">
        <v>693881.1</v>
      </c>
      <c r="C4" s="5"/>
      <c r="D4" s="4"/>
    </row>
    <row r="5" spans="1:5">
      <c r="A5" s="2" t="s">
        <v>8</v>
      </c>
      <c r="B5" s="2" t="s">
        <v>9</v>
      </c>
      <c r="C5" s="8">
        <v>50</v>
      </c>
      <c r="D5" s="2" t="s">
        <v>10</v>
      </c>
      <c r="E5">
        <f>C5</f>
        <v>50</v>
      </c>
    </row>
    <row r="6" spans="1:5">
      <c r="A6" s="2" t="s">
        <v>11</v>
      </c>
      <c r="B6" s="2" t="s">
        <v>12</v>
      </c>
      <c r="C6" s="8">
        <v>50</v>
      </c>
      <c r="D6" s="2" t="s">
        <v>10</v>
      </c>
      <c r="E6">
        <f>C6</f>
        <v>50</v>
      </c>
    </row>
    <row r="7" spans="1:5">
      <c r="A7" s="2" t="s">
        <v>13</v>
      </c>
      <c r="B7" s="2" t="s">
        <v>14</v>
      </c>
      <c r="C7" s="8">
        <v>15</v>
      </c>
      <c r="D7" s="2" t="s">
        <v>15</v>
      </c>
      <c r="E7">
        <f>B3*C7/B4</f>
        <v>16.018334481224521</v>
      </c>
    </row>
    <row r="8" spans="1:5">
      <c r="A8" s="1" t="s">
        <v>16</v>
      </c>
      <c r="B8" s="1" t="s">
        <v>17</v>
      </c>
      <c r="C8" s="6" t="s">
        <v>18</v>
      </c>
      <c r="D8" s="1" t="s">
        <v>15</v>
      </c>
      <c r="E8">
        <f>B3*$C$8/$B$4</f>
        <v>0.21357779308299363</v>
      </c>
    </row>
    <row r="9" spans="1:5">
      <c r="A9" s="1" t="s">
        <v>19</v>
      </c>
      <c r="B9" s="1" t="s">
        <v>20</v>
      </c>
      <c r="C9" s="6">
        <v>5</v>
      </c>
      <c r="D9" s="1" t="s">
        <v>21</v>
      </c>
      <c r="E9">
        <f t="shared" ref="E9" si="0">B4*$C$8/$B$4</f>
        <v>0.2</v>
      </c>
    </row>
    <row r="10" spans="1:5">
      <c r="A10" s="1" t="s">
        <v>22</v>
      </c>
      <c r="B10" s="1" t="s">
        <v>23</v>
      </c>
      <c r="C10" s="6" t="s">
        <v>24</v>
      </c>
      <c r="D10" s="1" t="s">
        <v>15</v>
      </c>
      <c r="E10">
        <f>B4*$C$8/$B$3</f>
        <v>0.18728538872230274</v>
      </c>
    </row>
    <row r="11" spans="1:5">
      <c r="A11" s="2" t="s">
        <v>19</v>
      </c>
      <c r="B11" s="2" t="s">
        <v>20</v>
      </c>
      <c r="C11" s="8" t="s">
        <v>25</v>
      </c>
      <c r="D11" s="2" t="s">
        <v>21</v>
      </c>
      <c r="E11">
        <f>B4*$C$8/$B$3</f>
        <v>0.18728538872230274</v>
      </c>
    </row>
    <row r="12" spans="1:5">
      <c r="A12" s="2" t="s">
        <v>26</v>
      </c>
      <c r="B12" s="2" t="s">
        <v>27</v>
      </c>
      <c r="C12" s="8">
        <v>1</v>
      </c>
      <c r="D12" s="2" t="s">
        <v>28</v>
      </c>
      <c r="E12">
        <f>B4*$C$8/$B$3</f>
        <v>0.18728538872230274</v>
      </c>
    </row>
    <row r="13" spans="1:5">
      <c r="A13" s="2" t="s">
        <v>29</v>
      </c>
      <c r="B13" s="2" t="s">
        <v>30</v>
      </c>
      <c r="C13" s="8" t="s">
        <v>31</v>
      </c>
      <c r="D13" s="2" t="s">
        <v>15</v>
      </c>
      <c r="E13">
        <f>B4*$C$8/$B$3</f>
        <v>0.18728538872230274</v>
      </c>
    </row>
    <row r="14" spans="1:5">
      <c r="A14" s="2" t="s">
        <v>32</v>
      </c>
      <c r="B14" s="2" t="s">
        <v>33</v>
      </c>
      <c r="C14" s="8">
        <v>1</v>
      </c>
      <c r="D14" s="2" t="s">
        <v>28</v>
      </c>
      <c r="E14">
        <v>1</v>
      </c>
    </row>
    <row r="15" spans="1:5">
      <c r="A15" s="2" t="s">
        <v>34</v>
      </c>
      <c r="B15" s="2" t="s">
        <v>35</v>
      </c>
      <c r="C15" s="8">
        <v>1</v>
      </c>
      <c r="D15" s="2" t="s">
        <v>28</v>
      </c>
      <c r="E15">
        <v>1</v>
      </c>
    </row>
  </sheetData>
  <mergeCells count="1">
    <mergeCell ref="B1:D1"/>
  </mergeCell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7C45-1401-4230-851F-AD8C33174598}">
  <dimension ref="A1:N22"/>
  <sheetViews>
    <sheetView topLeftCell="K1" workbookViewId="0">
      <pane ySplit="1" topLeftCell="A4" activePane="bottomLeft" state="frozen"/>
      <selection pane="bottomLeft" activeCell="N4" sqref="N4"/>
      <selection activeCell="K1" sqref="K1"/>
    </sheetView>
  </sheetViews>
  <sheetFormatPr defaultColWidth="9.140625" defaultRowHeight="15"/>
  <cols>
    <col min="1" max="1" width="21.7109375" bestFit="1" customWidth="1"/>
    <col min="2" max="2" width="68" bestFit="1" customWidth="1"/>
    <col min="3" max="3" width="18.85546875" bestFit="1" customWidth="1"/>
    <col min="5" max="5" width="13.42578125" bestFit="1" customWidth="1"/>
    <col min="6" max="6" width="20.28515625" style="10" bestFit="1" customWidth="1"/>
    <col min="7" max="8" width="16" style="10" bestFit="1" customWidth="1"/>
    <col min="9" max="9" width="15.42578125" style="10" bestFit="1" customWidth="1"/>
    <col min="10" max="10" width="17.42578125" style="10" bestFit="1" customWidth="1"/>
    <col min="11" max="11" width="12.5703125" bestFit="1" customWidth="1"/>
    <col min="14" max="14" width="15" bestFit="1" customWidth="1"/>
  </cols>
  <sheetData>
    <row r="1" spans="1:14" s="16" customFormat="1">
      <c r="A1" s="14" t="s">
        <v>36</v>
      </c>
      <c r="B1" s="14" t="s">
        <v>37</v>
      </c>
      <c r="C1" s="14" t="s">
        <v>38</v>
      </c>
      <c r="D1" s="14" t="s">
        <v>39</v>
      </c>
      <c r="E1" s="14" t="s">
        <v>4</v>
      </c>
      <c r="F1" s="15" t="s">
        <v>40</v>
      </c>
      <c r="G1" s="15" t="s">
        <v>41</v>
      </c>
      <c r="H1" s="15" t="s">
        <v>42</v>
      </c>
      <c r="I1" s="15" t="s">
        <v>43</v>
      </c>
      <c r="J1" s="15" t="s">
        <v>44</v>
      </c>
    </row>
    <row r="2" spans="1:14">
      <c r="A2" s="4" t="s">
        <v>6</v>
      </c>
      <c r="B2" s="24">
        <v>740987.97</v>
      </c>
      <c r="C2" s="5"/>
      <c r="D2" s="4"/>
    </row>
    <row r="3" spans="1:14" ht="15.75" thickBot="1">
      <c r="A3" s="4" t="s">
        <v>7</v>
      </c>
      <c r="B3" s="24">
        <v>693881.1</v>
      </c>
      <c r="C3" s="5"/>
      <c r="D3" s="4"/>
      <c r="G3" s="25">
        <f>(G4/$J$4)</f>
        <v>0.50117519658393117</v>
      </c>
      <c r="H3" s="25">
        <f t="shared" ref="H3:I3" si="0">(H4/$J$4)</f>
        <v>0.11823995340232743</v>
      </c>
      <c r="I3" s="25">
        <f t="shared" si="0"/>
        <v>0.38058485001374137</v>
      </c>
      <c r="M3" t="s">
        <v>45</v>
      </c>
      <c r="N3" s="22">
        <v>0.7</v>
      </c>
    </row>
    <row r="4" spans="1:14" ht="15.75" thickBot="1">
      <c r="A4" s="12" t="s">
        <v>0</v>
      </c>
      <c r="B4" s="12" t="s">
        <v>1</v>
      </c>
      <c r="C4" s="12" t="s">
        <v>28</v>
      </c>
      <c r="D4" s="12">
        <v>1</v>
      </c>
      <c r="E4" s="12">
        <v>1</v>
      </c>
      <c r="F4" s="13">
        <v>0</v>
      </c>
      <c r="G4" s="13">
        <v>54981.45</v>
      </c>
      <c r="H4" s="13">
        <v>12971.52</v>
      </c>
      <c r="I4" s="13">
        <v>41752.080000000002</v>
      </c>
      <c r="J4" s="20">
        <v>109705.05</v>
      </c>
      <c r="K4" s="21">
        <f>SUM(K5:K22)</f>
        <v>113220.17294344246</v>
      </c>
      <c r="M4" t="s">
        <v>46</v>
      </c>
      <c r="N4" s="18">
        <f>(K4*G3)/(1-N3)</f>
        <v>189143.8081073215</v>
      </c>
    </row>
    <row r="5" spans="1:14">
      <c r="A5" s="11" t="s">
        <v>8</v>
      </c>
      <c r="B5" s="11" t="s">
        <v>9</v>
      </c>
      <c r="C5" s="1" t="s">
        <v>10</v>
      </c>
      <c r="D5" s="1">
        <v>2</v>
      </c>
      <c r="E5" s="1">
        <v>50</v>
      </c>
      <c r="F5" s="9">
        <v>824</v>
      </c>
      <c r="G5" s="9">
        <v>0</v>
      </c>
      <c r="H5" s="9">
        <v>0</v>
      </c>
      <c r="I5" s="9">
        <v>41200</v>
      </c>
      <c r="J5" s="9">
        <v>41200</v>
      </c>
      <c r="K5" s="18">
        <f>J5</f>
        <v>41200</v>
      </c>
      <c r="M5" t="s">
        <v>47</v>
      </c>
      <c r="N5" s="23">
        <v>4200</v>
      </c>
    </row>
    <row r="6" spans="1:14">
      <c r="A6" s="11" t="s">
        <v>11</v>
      </c>
      <c r="B6" s="11" t="s">
        <v>12</v>
      </c>
      <c r="C6" s="1" t="s">
        <v>10</v>
      </c>
      <c r="D6" s="1">
        <v>2</v>
      </c>
      <c r="E6" s="1">
        <v>50</v>
      </c>
      <c r="F6" s="9">
        <v>256</v>
      </c>
      <c r="G6" s="9">
        <v>0</v>
      </c>
      <c r="H6" s="9">
        <v>12800</v>
      </c>
      <c r="I6" s="9">
        <v>0</v>
      </c>
      <c r="J6" s="9">
        <v>12800</v>
      </c>
      <c r="K6" s="18">
        <f>J6</f>
        <v>12800</v>
      </c>
      <c r="M6" t="s">
        <v>48</v>
      </c>
      <c r="N6" s="26">
        <f>N4/N5</f>
        <v>45.034240025552741</v>
      </c>
    </row>
    <row r="7" spans="1:14">
      <c r="A7" s="11" t="s">
        <v>13</v>
      </c>
      <c r="B7" s="11" t="s">
        <v>14</v>
      </c>
      <c r="C7" s="1" t="s">
        <v>15</v>
      </c>
      <c r="D7" s="1">
        <v>2</v>
      </c>
      <c r="E7" s="1">
        <v>15</v>
      </c>
      <c r="F7" s="9">
        <v>0</v>
      </c>
      <c r="G7" s="9">
        <v>0</v>
      </c>
      <c r="H7" s="9">
        <v>0</v>
      </c>
      <c r="I7" s="9">
        <v>0</v>
      </c>
      <c r="J7" s="9">
        <v>0</v>
      </c>
    </row>
    <row r="8" spans="1:14">
      <c r="A8" s="1" t="s">
        <v>16</v>
      </c>
      <c r="B8" s="1" t="s">
        <v>17</v>
      </c>
      <c r="C8" s="1" t="s">
        <v>15</v>
      </c>
      <c r="D8" s="1">
        <v>3</v>
      </c>
      <c r="E8" s="1">
        <v>3</v>
      </c>
      <c r="F8" s="9">
        <v>10750.29</v>
      </c>
      <c r="G8" s="9">
        <v>32250.87</v>
      </c>
      <c r="H8" s="9">
        <v>0</v>
      </c>
      <c r="I8" s="9">
        <v>0</v>
      </c>
      <c r="J8" s="9">
        <v>32250.87</v>
      </c>
      <c r="K8" s="19">
        <f>$B$2*J8/$B$3</f>
        <v>34440.348198032625</v>
      </c>
    </row>
    <row r="9" spans="1:14">
      <c r="A9" s="1" t="s">
        <v>19</v>
      </c>
      <c r="B9" s="1" t="s">
        <v>20</v>
      </c>
      <c r="C9" s="1" t="s">
        <v>21</v>
      </c>
      <c r="D9" s="1">
        <v>3</v>
      </c>
      <c r="E9" s="1">
        <v>75</v>
      </c>
      <c r="F9" s="9">
        <v>37.21</v>
      </c>
      <c r="G9" s="9">
        <v>2790.75</v>
      </c>
      <c r="H9" s="9">
        <v>0</v>
      </c>
      <c r="I9" s="9">
        <v>0</v>
      </c>
      <c r="J9" s="9">
        <v>2790.75</v>
      </c>
      <c r="K9" s="19">
        <f t="shared" ref="K9:K19" si="1">$B$2*J9/$B$3</f>
        <v>2980.2111302318222</v>
      </c>
    </row>
    <row r="10" spans="1:14">
      <c r="A10" s="2" t="s">
        <v>22</v>
      </c>
      <c r="B10" s="2" t="s">
        <v>23</v>
      </c>
      <c r="C10" s="1" t="s">
        <v>15</v>
      </c>
      <c r="D10" s="1">
        <v>3</v>
      </c>
      <c r="E10" s="1">
        <v>12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19">
        <f t="shared" si="1"/>
        <v>0</v>
      </c>
    </row>
    <row r="11" spans="1:14">
      <c r="A11" s="1" t="s">
        <v>49</v>
      </c>
      <c r="B11" s="1" t="s">
        <v>50</v>
      </c>
      <c r="C11" s="1" t="s">
        <v>15</v>
      </c>
      <c r="D11" s="1">
        <v>4</v>
      </c>
      <c r="E11" s="1">
        <v>4.08</v>
      </c>
      <c r="F11" s="9">
        <v>209.39</v>
      </c>
      <c r="G11" s="9">
        <v>854.31</v>
      </c>
      <c r="H11" s="9">
        <v>0</v>
      </c>
      <c r="I11" s="9">
        <v>0</v>
      </c>
      <c r="J11" s="9">
        <v>854.31</v>
      </c>
      <c r="K11" s="19">
        <f t="shared" si="1"/>
        <v>912.30822204366132</v>
      </c>
    </row>
    <row r="12" spans="1:14">
      <c r="A12" s="1" t="s">
        <v>51</v>
      </c>
      <c r="B12" s="1" t="s">
        <v>52</v>
      </c>
      <c r="C12" s="1" t="s">
        <v>15</v>
      </c>
      <c r="D12" s="1">
        <v>4</v>
      </c>
      <c r="E12" s="1">
        <v>7.92</v>
      </c>
      <c r="F12" s="9">
        <v>202.84</v>
      </c>
      <c r="G12" s="9">
        <v>1606.49</v>
      </c>
      <c r="H12" s="9">
        <v>0</v>
      </c>
      <c r="I12" s="9">
        <v>0</v>
      </c>
      <c r="J12" s="9">
        <v>1606.49</v>
      </c>
      <c r="K12" s="19">
        <f t="shared" si="1"/>
        <v>1715.552944049492</v>
      </c>
    </row>
    <row r="13" spans="1:14">
      <c r="A13" s="1" t="s">
        <v>53</v>
      </c>
      <c r="B13" s="1" t="s">
        <v>54</v>
      </c>
      <c r="C13" s="1" t="s">
        <v>15</v>
      </c>
      <c r="D13" s="1">
        <v>4</v>
      </c>
      <c r="E13" s="1">
        <v>12</v>
      </c>
      <c r="F13" s="9">
        <v>90</v>
      </c>
      <c r="G13" s="9">
        <v>1080</v>
      </c>
      <c r="H13" s="9">
        <v>0</v>
      </c>
      <c r="I13" s="9">
        <v>0</v>
      </c>
      <c r="J13" s="9">
        <v>1080</v>
      </c>
      <c r="K13" s="19">
        <f t="shared" si="1"/>
        <v>1153.3200826481657</v>
      </c>
    </row>
    <row r="14" spans="1:14">
      <c r="A14" s="1" t="s">
        <v>55</v>
      </c>
      <c r="B14" s="1" t="s">
        <v>56</v>
      </c>
      <c r="C14" s="1" t="s">
        <v>15</v>
      </c>
      <c r="D14" s="1">
        <v>4</v>
      </c>
      <c r="E14" s="1">
        <v>12</v>
      </c>
      <c r="F14" s="9">
        <v>1</v>
      </c>
      <c r="G14" s="9">
        <v>12</v>
      </c>
      <c r="H14" s="9">
        <v>0</v>
      </c>
      <c r="I14" s="9">
        <v>0</v>
      </c>
      <c r="J14" s="9">
        <v>12</v>
      </c>
      <c r="K14" s="19">
        <f t="shared" si="1"/>
        <v>12.814667584979619</v>
      </c>
    </row>
    <row r="15" spans="1:14">
      <c r="A15" s="17" t="s">
        <v>19</v>
      </c>
      <c r="B15" s="17" t="s">
        <v>20</v>
      </c>
      <c r="C15" s="1" t="s">
        <v>21</v>
      </c>
      <c r="D15" s="1">
        <v>2</v>
      </c>
      <c r="E15" s="1">
        <v>16.75</v>
      </c>
      <c r="F15" s="9">
        <v>37.21</v>
      </c>
      <c r="G15" s="9">
        <v>623.27</v>
      </c>
      <c r="H15" s="9">
        <v>0</v>
      </c>
      <c r="I15" s="9">
        <v>0</v>
      </c>
      <c r="J15" s="9">
        <v>623.27</v>
      </c>
      <c r="K15" s="19">
        <f>$B$2*J15/$B$3</f>
        <v>665.58315547418715</v>
      </c>
    </row>
    <row r="16" spans="1:14">
      <c r="A16" s="17" t="s">
        <v>26</v>
      </c>
      <c r="B16" s="17" t="s">
        <v>27</v>
      </c>
      <c r="C16" s="1" t="s">
        <v>28</v>
      </c>
      <c r="D16" s="1">
        <v>2</v>
      </c>
      <c r="E16" s="1">
        <v>1</v>
      </c>
      <c r="F16" s="9">
        <v>532</v>
      </c>
      <c r="G16" s="9">
        <v>532</v>
      </c>
      <c r="H16" s="9">
        <v>0</v>
      </c>
      <c r="I16" s="9">
        <v>0</v>
      </c>
      <c r="J16" s="9">
        <v>532</v>
      </c>
      <c r="K16" s="19">
        <f t="shared" si="1"/>
        <v>568.116929600763</v>
      </c>
    </row>
    <row r="17" spans="1:11">
      <c r="A17" s="17" t="s">
        <v>29</v>
      </c>
      <c r="B17" s="17" t="s">
        <v>57</v>
      </c>
      <c r="C17" s="1" t="s">
        <v>15</v>
      </c>
      <c r="D17" s="1">
        <v>2</v>
      </c>
      <c r="E17" s="1">
        <v>0.67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19">
        <f t="shared" si="1"/>
        <v>0</v>
      </c>
    </row>
    <row r="18" spans="1:11">
      <c r="A18" s="1" t="s">
        <v>58</v>
      </c>
      <c r="B18" s="1" t="s">
        <v>59</v>
      </c>
      <c r="C18" s="1" t="s">
        <v>15</v>
      </c>
      <c r="D18" s="1">
        <v>3</v>
      </c>
      <c r="E18" s="1">
        <v>0.67</v>
      </c>
      <c r="F18" s="9">
        <v>17696</v>
      </c>
      <c r="G18" s="9">
        <v>11856.32</v>
      </c>
      <c r="H18" s="9">
        <v>0</v>
      </c>
      <c r="I18" s="9">
        <v>0</v>
      </c>
      <c r="J18" s="9">
        <v>11856.32</v>
      </c>
      <c r="K18" s="19">
        <f>$B$2*J18/$B$3</f>
        <v>12661.233298428795</v>
      </c>
    </row>
    <row r="19" spans="1:11">
      <c r="A19" s="1" t="s">
        <v>11</v>
      </c>
      <c r="B19" s="1" t="s">
        <v>12</v>
      </c>
      <c r="C19" s="1" t="s">
        <v>10</v>
      </c>
      <c r="D19" s="1">
        <v>3</v>
      </c>
      <c r="E19" s="1">
        <v>0.67</v>
      </c>
      <c r="F19" s="9">
        <v>256</v>
      </c>
      <c r="G19" s="9">
        <v>0</v>
      </c>
      <c r="H19" s="9">
        <v>171.52</v>
      </c>
      <c r="I19" s="9">
        <v>0</v>
      </c>
      <c r="J19" s="9">
        <v>171.52</v>
      </c>
      <c r="K19" s="19">
        <f t="shared" si="1"/>
        <v>183.16431534797533</v>
      </c>
    </row>
    <row r="20" spans="1:11">
      <c r="A20" s="1" t="s">
        <v>8</v>
      </c>
      <c r="B20" s="1" t="s">
        <v>9</v>
      </c>
      <c r="C20" s="1" t="s">
        <v>10</v>
      </c>
      <c r="D20" s="1">
        <v>3</v>
      </c>
      <c r="E20" s="1">
        <v>0.67</v>
      </c>
      <c r="F20" s="9">
        <v>824</v>
      </c>
      <c r="G20" s="9">
        <v>0</v>
      </c>
      <c r="H20" s="9">
        <v>0</v>
      </c>
      <c r="I20" s="9">
        <v>552.08000000000004</v>
      </c>
      <c r="J20" s="9">
        <v>552.08000000000004</v>
      </c>
      <c r="K20" s="18">
        <f>J20</f>
        <v>552.08000000000004</v>
      </c>
    </row>
    <row r="21" spans="1:11">
      <c r="A21" s="11" t="s">
        <v>32</v>
      </c>
      <c r="B21" s="11" t="s">
        <v>33</v>
      </c>
      <c r="C21" s="1" t="s">
        <v>28</v>
      </c>
      <c r="D21" s="1">
        <v>2</v>
      </c>
      <c r="E21" s="1">
        <v>1</v>
      </c>
      <c r="F21" s="9">
        <v>3265.44</v>
      </c>
      <c r="G21" s="9">
        <v>3265.44</v>
      </c>
      <c r="H21" s="9">
        <v>0</v>
      </c>
      <c r="I21" s="9">
        <v>0</v>
      </c>
      <c r="J21" s="9">
        <v>3265.44</v>
      </c>
      <c r="K21" s="18">
        <f t="shared" ref="K21:K22" si="2">J21</f>
        <v>3265.44</v>
      </c>
    </row>
    <row r="22" spans="1:11">
      <c r="A22" s="11" t="s">
        <v>34</v>
      </c>
      <c r="B22" s="11" t="s">
        <v>35</v>
      </c>
      <c r="C22" s="1" t="s">
        <v>28</v>
      </c>
      <c r="D22" s="1">
        <v>2</v>
      </c>
      <c r="E22" s="1">
        <v>1</v>
      </c>
      <c r="F22" s="9">
        <v>110</v>
      </c>
      <c r="G22" s="9">
        <v>110</v>
      </c>
      <c r="H22" s="9">
        <v>0</v>
      </c>
      <c r="I22" s="9">
        <v>0</v>
      </c>
      <c r="J22" s="9">
        <v>110</v>
      </c>
      <c r="K22" s="18">
        <f t="shared" si="2"/>
        <v>110</v>
      </c>
    </row>
  </sheetData>
  <autoFilter ref="A1:J20" xr:uid="{00000000-0001-0000-0000-000000000000}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G1" workbookViewId="0">
      <pane ySplit="1" topLeftCell="A2" activePane="bottomLeft" state="frozen"/>
      <selection pane="bottomLeft" activeCell="B14" sqref="B14"/>
      <selection activeCell="G1" sqref="G1"/>
    </sheetView>
  </sheetViews>
  <sheetFormatPr defaultColWidth="9.140625" defaultRowHeight="15"/>
  <cols>
    <col min="1" max="1" width="21.7109375" bestFit="1" customWidth="1"/>
    <col min="2" max="2" width="68" bestFit="1" customWidth="1"/>
    <col min="3" max="3" width="18.85546875" bestFit="1" customWidth="1"/>
    <col min="5" max="5" width="13.42578125" bestFit="1" customWidth="1"/>
    <col min="6" max="6" width="20.28515625" style="10" bestFit="1" customWidth="1"/>
    <col min="7" max="8" width="16" style="10" bestFit="1" customWidth="1"/>
    <col min="9" max="9" width="15.42578125" style="10" bestFit="1" customWidth="1"/>
    <col min="10" max="10" width="17.42578125" style="10" bestFit="1" customWidth="1"/>
  </cols>
  <sheetData>
    <row r="1" spans="1:10" s="16" customFormat="1">
      <c r="A1" s="14" t="s">
        <v>36</v>
      </c>
      <c r="B1" s="14" t="s">
        <v>37</v>
      </c>
      <c r="C1" s="14" t="s">
        <v>38</v>
      </c>
      <c r="D1" s="14" t="s">
        <v>39</v>
      </c>
      <c r="E1" s="14" t="s">
        <v>4</v>
      </c>
      <c r="F1" s="15" t="s">
        <v>40</v>
      </c>
      <c r="G1" s="15" t="s">
        <v>41</v>
      </c>
      <c r="H1" s="15" t="s">
        <v>42</v>
      </c>
      <c r="I1" s="15" t="s">
        <v>43</v>
      </c>
      <c r="J1" s="15" t="s">
        <v>44</v>
      </c>
    </row>
    <row r="2" spans="1:10">
      <c r="A2" s="12" t="s">
        <v>0</v>
      </c>
      <c r="B2" s="12" t="s">
        <v>1</v>
      </c>
      <c r="C2" s="12" t="s">
        <v>28</v>
      </c>
      <c r="D2" s="12">
        <v>1</v>
      </c>
      <c r="E2" s="12">
        <v>1</v>
      </c>
      <c r="F2" s="13">
        <v>0</v>
      </c>
      <c r="G2" s="13">
        <v>54981.45</v>
      </c>
      <c r="H2" s="13">
        <v>12971.52</v>
      </c>
      <c r="I2" s="13">
        <v>41752.080000000002</v>
      </c>
      <c r="J2" s="13">
        <v>109705.05</v>
      </c>
    </row>
    <row r="3" spans="1:10">
      <c r="A3" s="11" t="s">
        <v>8</v>
      </c>
      <c r="B3" s="11" t="s">
        <v>9</v>
      </c>
      <c r="C3" s="1" t="s">
        <v>10</v>
      </c>
      <c r="D3" s="1">
        <v>2</v>
      </c>
      <c r="E3" s="1">
        <v>50</v>
      </c>
      <c r="F3" s="9">
        <v>824</v>
      </c>
      <c r="G3" s="9">
        <v>0</v>
      </c>
      <c r="H3" s="9">
        <v>0</v>
      </c>
      <c r="I3" s="9">
        <v>41200</v>
      </c>
      <c r="J3" s="9">
        <v>41200</v>
      </c>
    </row>
    <row r="4" spans="1:10">
      <c r="A4" s="11" t="s">
        <v>11</v>
      </c>
      <c r="B4" s="11" t="s">
        <v>12</v>
      </c>
      <c r="C4" s="1" t="s">
        <v>10</v>
      </c>
      <c r="D4" s="1">
        <v>2</v>
      </c>
      <c r="E4" s="1">
        <v>50</v>
      </c>
      <c r="F4" s="9">
        <v>256</v>
      </c>
      <c r="G4" s="9">
        <v>0</v>
      </c>
      <c r="H4" s="9">
        <v>12800</v>
      </c>
      <c r="I4" s="9">
        <v>0</v>
      </c>
      <c r="J4" s="9">
        <v>12800</v>
      </c>
    </row>
    <row r="5" spans="1:10">
      <c r="A5" s="11" t="s">
        <v>13</v>
      </c>
      <c r="B5" s="11" t="s">
        <v>14</v>
      </c>
      <c r="C5" s="1" t="s">
        <v>15</v>
      </c>
      <c r="D5" s="1">
        <v>2</v>
      </c>
      <c r="E5" s="1">
        <v>15</v>
      </c>
      <c r="F5" s="9">
        <v>0</v>
      </c>
      <c r="G5" s="9">
        <v>0</v>
      </c>
      <c r="H5" s="9">
        <v>0</v>
      </c>
      <c r="I5" s="9">
        <v>0</v>
      </c>
      <c r="J5" s="9">
        <v>0</v>
      </c>
    </row>
    <row r="6" spans="1:10">
      <c r="A6" s="1" t="s">
        <v>16</v>
      </c>
      <c r="B6" s="1" t="s">
        <v>17</v>
      </c>
      <c r="C6" s="1" t="s">
        <v>15</v>
      </c>
      <c r="D6" s="1">
        <v>3</v>
      </c>
      <c r="E6" s="1">
        <v>3</v>
      </c>
      <c r="F6" s="9">
        <v>10750.29</v>
      </c>
      <c r="G6" s="9">
        <v>32250.87</v>
      </c>
      <c r="H6" s="9">
        <v>0</v>
      </c>
      <c r="I6" s="9">
        <v>0</v>
      </c>
      <c r="J6" s="9">
        <v>32250.87</v>
      </c>
    </row>
    <row r="7" spans="1:10">
      <c r="A7" s="1" t="s">
        <v>19</v>
      </c>
      <c r="B7" s="1" t="s">
        <v>20</v>
      </c>
      <c r="C7" s="1" t="s">
        <v>21</v>
      </c>
      <c r="D7" s="1">
        <v>3</v>
      </c>
      <c r="E7" s="1">
        <v>75</v>
      </c>
      <c r="F7" s="9">
        <v>37.21</v>
      </c>
      <c r="G7" s="9">
        <v>2790.75</v>
      </c>
      <c r="H7" s="9">
        <v>0</v>
      </c>
      <c r="I7" s="9">
        <v>0</v>
      </c>
      <c r="J7" s="9">
        <v>2790.75</v>
      </c>
    </row>
    <row r="8" spans="1:10">
      <c r="A8" s="2" t="s">
        <v>22</v>
      </c>
      <c r="B8" s="2" t="s">
        <v>23</v>
      </c>
      <c r="C8" s="1" t="s">
        <v>15</v>
      </c>
      <c r="D8" s="1">
        <v>3</v>
      </c>
      <c r="E8" s="1">
        <v>12</v>
      </c>
      <c r="F8" s="9">
        <v>0</v>
      </c>
      <c r="G8" s="9">
        <v>0</v>
      </c>
      <c r="H8" s="9">
        <v>0</v>
      </c>
      <c r="I8" s="9">
        <v>0</v>
      </c>
      <c r="J8" s="9">
        <v>0</v>
      </c>
    </row>
    <row r="9" spans="1:10">
      <c r="A9" s="1" t="s">
        <v>49</v>
      </c>
      <c r="B9" s="1" t="s">
        <v>50</v>
      </c>
      <c r="C9" s="1" t="s">
        <v>15</v>
      </c>
      <c r="D9" s="1">
        <v>4</v>
      </c>
      <c r="E9" s="1">
        <f>0.34*E8</f>
        <v>4.08</v>
      </c>
      <c r="F9" s="9">
        <v>209.39</v>
      </c>
      <c r="G9" s="9">
        <v>854.31</v>
      </c>
      <c r="H9" s="9">
        <v>0</v>
      </c>
      <c r="I9" s="9">
        <v>0</v>
      </c>
      <c r="J9" s="9">
        <v>854.31</v>
      </c>
    </row>
    <row r="10" spans="1:10">
      <c r="A10" s="1" t="s">
        <v>51</v>
      </c>
      <c r="B10" s="1" t="s">
        <v>52</v>
      </c>
      <c r="C10" s="1" t="s">
        <v>15</v>
      </c>
      <c r="D10" s="1">
        <v>4</v>
      </c>
      <c r="E10" s="1">
        <f>0.66*E8</f>
        <v>7.92</v>
      </c>
      <c r="F10" s="9">
        <v>202.84</v>
      </c>
      <c r="G10" s="9">
        <v>1606.49</v>
      </c>
      <c r="H10" s="9">
        <v>0</v>
      </c>
      <c r="I10" s="9">
        <v>0</v>
      </c>
      <c r="J10" s="9">
        <v>1606.49</v>
      </c>
    </row>
    <row r="11" spans="1:10">
      <c r="A11" s="1" t="s">
        <v>53</v>
      </c>
      <c r="B11" s="1" t="s">
        <v>54</v>
      </c>
      <c r="C11" s="1" t="s">
        <v>15</v>
      </c>
      <c r="D11" s="1">
        <v>4</v>
      </c>
      <c r="E11" s="1">
        <f>1*E8</f>
        <v>12</v>
      </c>
      <c r="F11" s="9">
        <v>90</v>
      </c>
      <c r="G11" s="9">
        <v>1080</v>
      </c>
      <c r="H11" s="9">
        <v>0</v>
      </c>
      <c r="I11" s="9">
        <v>0</v>
      </c>
      <c r="J11" s="9">
        <v>1080</v>
      </c>
    </row>
    <row r="12" spans="1:10">
      <c r="A12" s="1" t="s">
        <v>55</v>
      </c>
      <c r="B12" s="1" t="s">
        <v>56</v>
      </c>
      <c r="C12" s="1" t="s">
        <v>15</v>
      </c>
      <c r="D12" s="1">
        <v>4</v>
      </c>
      <c r="E12" s="1">
        <f>1*E8</f>
        <v>12</v>
      </c>
      <c r="F12" s="9">
        <v>1</v>
      </c>
      <c r="G12" s="9">
        <v>12</v>
      </c>
      <c r="H12" s="9">
        <v>0</v>
      </c>
      <c r="I12" s="9">
        <v>0</v>
      </c>
      <c r="J12" s="9">
        <v>12</v>
      </c>
    </row>
    <row r="13" spans="1:10">
      <c r="A13" s="17" t="s">
        <v>19</v>
      </c>
      <c r="B13" s="17" t="s">
        <v>20</v>
      </c>
      <c r="C13" s="1" t="s">
        <v>21</v>
      </c>
      <c r="D13" s="1">
        <v>2</v>
      </c>
      <c r="E13" s="1">
        <v>16.75</v>
      </c>
      <c r="F13" s="9">
        <v>37.21</v>
      </c>
      <c r="G13" s="9">
        <v>623.27</v>
      </c>
      <c r="H13" s="9">
        <v>0</v>
      </c>
      <c r="I13" s="9">
        <v>0</v>
      </c>
      <c r="J13" s="9">
        <v>623.27</v>
      </c>
    </row>
    <row r="14" spans="1:10">
      <c r="A14" s="17" t="s">
        <v>26</v>
      </c>
      <c r="B14" s="17" t="s">
        <v>27</v>
      </c>
      <c r="C14" s="1" t="s">
        <v>28</v>
      </c>
      <c r="D14" s="1">
        <v>2</v>
      </c>
      <c r="E14" s="1">
        <v>1</v>
      </c>
      <c r="F14" s="9">
        <v>532</v>
      </c>
      <c r="G14" s="9">
        <v>532</v>
      </c>
      <c r="H14" s="9">
        <v>0</v>
      </c>
      <c r="I14" s="9">
        <v>0</v>
      </c>
      <c r="J14" s="9">
        <v>532</v>
      </c>
    </row>
    <row r="15" spans="1:10">
      <c r="A15" s="17" t="s">
        <v>29</v>
      </c>
      <c r="B15" s="17" t="s">
        <v>57</v>
      </c>
      <c r="C15" s="1" t="s">
        <v>15</v>
      </c>
      <c r="D15" s="1">
        <v>2</v>
      </c>
      <c r="E15" s="1">
        <v>0.67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</row>
    <row r="16" spans="1:10">
      <c r="A16" s="1" t="s">
        <v>58</v>
      </c>
      <c r="B16" s="1" t="s">
        <v>59</v>
      </c>
      <c r="C16" s="1" t="s">
        <v>15</v>
      </c>
      <c r="D16" s="1">
        <v>3</v>
      </c>
      <c r="E16" s="1">
        <v>0.67</v>
      </c>
      <c r="F16" s="9">
        <v>17696</v>
      </c>
      <c r="G16" s="9">
        <v>11856.32</v>
      </c>
      <c r="H16" s="9">
        <v>0</v>
      </c>
      <c r="I16" s="9">
        <v>0</v>
      </c>
      <c r="J16" s="9">
        <v>11856.32</v>
      </c>
    </row>
    <row r="17" spans="1:10">
      <c r="A17" s="1" t="s">
        <v>11</v>
      </c>
      <c r="B17" s="1" t="s">
        <v>12</v>
      </c>
      <c r="C17" s="1" t="s">
        <v>10</v>
      </c>
      <c r="D17" s="1">
        <v>3</v>
      </c>
      <c r="E17" s="1">
        <v>0.67</v>
      </c>
      <c r="F17" s="9">
        <v>256</v>
      </c>
      <c r="G17" s="9">
        <v>0</v>
      </c>
      <c r="H17" s="9">
        <v>171.52</v>
      </c>
      <c r="I17" s="9">
        <v>0</v>
      </c>
      <c r="J17" s="9">
        <v>171.52</v>
      </c>
    </row>
    <row r="18" spans="1:10">
      <c r="A18" s="1" t="s">
        <v>8</v>
      </c>
      <c r="B18" s="1" t="s">
        <v>9</v>
      </c>
      <c r="C18" s="1" t="s">
        <v>10</v>
      </c>
      <c r="D18" s="1">
        <v>3</v>
      </c>
      <c r="E18" s="1">
        <v>0.67</v>
      </c>
      <c r="F18" s="9">
        <v>824</v>
      </c>
      <c r="G18" s="9">
        <v>0</v>
      </c>
      <c r="H18" s="9">
        <v>0</v>
      </c>
      <c r="I18" s="9">
        <v>552.08000000000004</v>
      </c>
      <c r="J18" s="9">
        <v>552.08000000000004</v>
      </c>
    </row>
    <row r="19" spans="1:10">
      <c r="A19" s="11" t="s">
        <v>32</v>
      </c>
      <c r="B19" s="11" t="s">
        <v>60</v>
      </c>
      <c r="C19" s="1" t="s">
        <v>28</v>
      </c>
      <c r="D19" s="1">
        <v>2</v>
      </c>
      <c r="E19" s="1">
        <v>1</v>
      </c>
      <c r="F19" s="9">
        <v>3265.44</v>
      </c>
      <c r="G19" s="9">
        <v>3265.44</v>
      </c>
      <c r="H19" s="9">
        <v>0</v>
      </c>
      <c r="I19" s="9">
        <v>0</v>
      </c>
      <c r="J19" s="9">
        <v>3265.44</v>
      </c>
    </row>
    <row r="20" spans="1:10">
      <c r="A20" s="11"/>
      <c r="B20" s="11" t="s">
        <v>61</v>
      </c>
      <c r="C20" s="1"/>
      <c r="D20" s="1">
        <v>3</v>
      </c>
      <c r="E20" s="1"/>
      <c r="F20" s="9"/>
      <c r="G20" s="9"/>
      <c r="H20" s="9"/>
      <c r="I20" s="9"/>
      <c r="J20" s="9"/>
    </row>
    <row r="21" spans="1:10">
      <c r="A21" s="11"/>
      <c r="B21" s="11" t="s">
        <v>62</v>
      </c>
      <c r="C21" s="1"/>
      <c r="D21" s="1">
        <v>3</v>
      </c>
      <c r="E21" s="1"/>
      <c r="F21" s="9"/>
      <c r="G21" s="9"/>
      <c r="H21" s="9"/>
      <c r="I21" s="9"/>
      <c r="J21" s="9"/>
    </row>
    <row r="22" spans="1:10">
      <c r="A22" s="11"/>
      <c r="B22" s="11" t="s">
        <v>63</v>
      </c>
      <c r="C22" s="1"/>
      <c r="D22" s="1">
        <v>2</v>
      </c>
      <c r="E22" s="1"/>
      <c r="F22" s="9"/>
      <c r="G22" s="9"/>
      <c r="H22" s="9"/>
      <c r="I22" s="9"/>
      <c r="J22" s="9"/>
    </row>
    <row r="23" spans="1:10">
      <c r="A23" s="11" t="s">
        <v>34</v>
      </c>
      <c r="B23" s="11" t="s">
        <v>35</v>
      </c>
      <c r="C23" s="1" t="s">
        <v>28</v>
      </c>
      <c r="D23" s="1">
        <v>2</v>
      </c>
      <c r="E23" s="1">
        <v>1</v>
      </c>
      <c r="F23" s="9">
        <v>110</v>
      </c>
      <c r="G23" s="9">
        <v>110</v>
      </c>
      <c r="H23" s="9">
        <v>0</v>
      </c>
      <c r="I23" s="9">
        <v>0</v>
      </c>
      <c r="J23" s="9">
        <v>110</v>
      </c>
    </row>
  </sheetData>
  <autoFilter ref="A1:J23" xr:uid="{00000000-0001-0000-0000-000000000000}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E5B3-8CFF-4691-95E3-C7BD605F5000}">
  <dimension ref="A1:J20"/>
  <sheetViews>
    <sheetView tabSelected="1" topLeftCell="E1" workbookViewId="0">
      <pane ySplit="1" topLeftCell="A2" activePane="bottomLeft" state="frozen"/>
      <selection pane="bottomLeft" activeCell="B3" sqref="B3"/>
      <selection activeCell="E1" sqref="E1"/>
    </sheetView>
  </sheetViews>
  <sheetFormatPr defaultColWidth="10.7109375" defaultRowHeight="15"/>
  <cols>
    <col min="1" max="1" width="21.7109375" bestFit="1" customWidth="1"/>
    <col min="2" max="2" width="68" bestFit="1" customWidth="1"/>
    <col min="3" max="3" width="18.85546875" bestFit="1" customWidth="1"/>
    <col min="5" max="5" width="13.42578125" bestFit="1" customWidth="1"/>
    <col min="6" max="6" width="20.28515625" style="10" bestFit="1" customWidth="1"/>
    <col min="7" max="8" width="16" style="10" bestFit="1" customWidth="1"/>
    <col min="9" max="9" width="15.42578125" style="10" bestFit="1" customWidth="1"/>
    <col min="10" max="10" width="17.42578125" style="10" bestFit="1" customWidth="1"/>
  </cols>
  <sheetData>
    <row r="1" spans="1:10">
      <c r="A1" s="14" t="s">
        <v>36</v>
      </c>
      <c r="B1" s="14" t="s">
        <v>37</v>
      </c>
      <c r="C1" s="14" t="s">
        <v>38</v>
      </c>
      <c r="D1" s="14" t="s">
        <v>39</v>
      </c>
      <c r="E1" s="14" t="s">
        <v>4</v>
      </c>
      <c r="F1" s="15" t="s">
        <v>40</v>
      </c>
      <c r="G1" s="15" t="s">
        <v>41</v>
      </c>
      <c r="H1" s="15" t="s">
        <v>42</v>
      </c>
      <c r="I1" s="15" t="s">
        <v>43</v>
      </c>
      <c r="J1" s="15" t="s">
        <v>44</v>
      </c>
    </row>
    <row r="2" spans="1:10">
      <c r="A2" s="12" t="s">
        <v>64</v>
      </c>
      <c r="B2" s="12" t="s">
        <v>65</v>
      </c>
      <c r="C2" s="12" t="s">
        <v>28</v>
      </c>
      <c r="D2" s="12">
        <v>1</v>
      </c>
      <c r="E2" s="12">
        <v>1</v>
      </c>
      <c r="F2" s="13">
        <v>0</v>
      </c>
      <c r="G2" s="13">
        <v>46246.76</v>
      </c>
      <c r="H2" s="13">
        <v>12928</v>
      </c>
      <c r="I2" s="13">
        <v>41612</v>
      </c>
      <c r="J2" s="13">
        <v>100786.76</v>
      </c>
    </row>
    <row r="3" spans="1:10">
      <c r="A3" s="11" t="s">
        <v>66</v>
      </c>
      <c r="B3" s="11" t="s">
        <v>67</v>
      </c>
      <c r="C3" s="1" t="s">
        <v>28</v>
      </c>
      <c r="D3" s="1">
        <v>2</v>
      </c>
      <c r="E3" s="1">
        <v>1</v>
      </c>
      <c r="F3" s="9">
        <v>5416.1</v>
      </c>
      <c r="G3" s="9">
        <v>5416.1</v>
      </c>
      <c r="H3" s="9">
        <v>0</v>
      </c>
      <c r="I3" s="9">
        <v>0</v>
      </c>
      <c r="J3" s="9">
        <v>5416.1</v>
      </c>
    </row>
    <row r="4" spans="1:10">
      <c r="A4" s="11" t="s">
        <v>8</v>
      </c>
      <c r="B4" s="11" t="s">
        <v>9</v>
      </c>
      <c r="C4" s="1" t="s">
        <v>10</v>
      </c>
      <c r="D4" s="1">
        <v>2</v>
      </c>
      <c r="E4" s="1">
        <v>50</v>
      </c>
      <c r="F4" s="9">
        <v>824</v>
      </c>
      <c r="G4" s="9">
        <v>0</v>
      </c>
      <c r="H4" s="9">
        <v>0</v>
      </c>
      <c r="I4" s="9">
        <v>41200</v>
      </c>
      <c r="J4" s="9">
        <v>41200</v>
      </c>
    </row>
    <row r="5" spans="1:10">
      <c r="A5" s="17" t="s">
        <v>34</v>
      </c>
      <c r="B5" s="17" t="s">
        <v>35</v>
      </c>
      <c r="C5" s="1" t="s">
        <v>28</v>
      </c>
      <c r="D5" s="1">
        <v>2</v>
      </c>
      <c r="E5" s="1">
        <v>1</v>
      </c>
      <c r="F5" s="9">
        <v>110</v>
      </c>
      <c r="G5" s="9">
        <v>110</v>
      </c>
      <c r="H5" s="9">
        <v>0</v>
      </c>
      <c r="I5" s="9">
        <v>0</v>
      </c>
      <c r="J5" s="9">
        <v>110</v>
      </c>
    </row>
    <row r="6" spans="1:10">
      <c r="A6" s="17" t="s">
        <v>29</v>
      </c>
      <c r="B6" s="17" t="s">
        <v>57</v>
      </c>
      <c r="C6" s="1" t="s">
        <v>15</v>
      </c>
      <c r="D6" s="1">
        <v>2</v>
      </c>
      <c r="E6" s="1">
        <v>0.5</v>
      </c>
      <c r="F6" s="9">
        <v>0</v>
      </c>
      <c r="G6" s="9">
        <v>0</v>
      </c>
      <c r="H6" s="9">
        <v>0</v>
      </c>
      <c r="I6" s="9">
        <v>0</v>
      </c>
      <c r="J6" s="9">
        <v>0</v>
      </c>
    </row>
    <row r="7" spans="1:10">
      <c r="A7" s="1" t="s">
        <v>58</v>
      </c>
      <c r="B7" s="1" t="s">
        <v>59</v>
      </c>
      <c r="C7" s="1" t="s">
        <v>15</v>
      </c>
      <c r="D7" s="1">
        <v>3</v>
      </c>
      <c r="E7" s="1">
        <v>0.5</v>
      </c>
      <c r="F7" s="9">
        <v>17696</v>
      </c>
      <c r="G7" s="9">
        <v>8848</v>
      </c>
      <c r="H7" s="9">
        <v>0</v>
      </c>
      <c r="I7" s="9">
        <v>0</v>
      </c>
      <c r="J7" s="9">
        <v>8848</v>
      </c>
    </row>
    <row r="8" spans="1:10">
      <c r="A8" s="1" t="s">
        <v>11</v>
      </c>
      <c r="B8" s="1" t="s">
        <v>12</v>
      </c>
      <c r="C8" s="1" t="s">
        <v>10</v>
      </c>
      <c r="D8" s="1">
        <v>3</v>
      </c>
      <c r="E8" s="1">
        <v>0.5</v>
      </c>
      <c r="F8" s="9">
        <v>256</v>
      </c>
      <c r="G8" s="9">
        <v>0</v>
      </c>
      <c r="H8" s="9">
        <v>128</v>
      </c>
      <c r="I8" s="9">
        <v>0</v>
      </c>
      <c r="J8" s="9">
        <v>128</v>
      </c>
    </row>
    <row r="9" spans="1:10">
      <c r="A9" s="1" t="s">
        <v>8</v>
      </c>
      <c r="B9" s="1" t="s">
        <v>9</v>
      </c>
      <c r="C9" s="1" t="s">
        <v>10</v>
      </c>
      <c r="D9" s="1">
        <v>3</v>
      </c>
      <c r="E9" s="1">
        <v>0.5</v>
      </c>
      <c r="F9" s="9">
        <v>824</v>
      </c>
      <c r="G9" s="9">
        <v>0</v>
      </c>
      <c r="H9" s="9">
        <v>0</v>
      </c>
      <c r="I9" s="9">
        <v>412</v>
      </c>
      <c r="J9" s="9">
        <v>412</v>
      </c>
    </row>
    <row r="10" spans="1:10">
      <c r="A10" s="17" t="s">
        <v>26</v>
      </c>
      <c r="B10" s="17" t="s">
        <v>27</v>
      </c>
      <c r="C10" s="1" t="s">
        <v>28</v>
      </c>
      <c r="D10" s="1">
        <v>2</v>
      </c>
      <c r="E10" s="1">
        <v>1</v>
      </c>
      <c r="F10" s="9">
        <v>532</v>
      </c>
      <c r="G10" s="9">
        <v>532</v>
      </c>
      <c r="H10" s="9">
        <v>0</v>
      </c>
      <c r="I10" s="9">
        <v>0</v>
      </c>
      <c r="J10" s="9">
        <v>532</v>
      </c>
    </row>
    <row r="11" spans="1:10">
      <c r="A11" s="17" t="s">
        <v>11</v>
      </c>
      <c r="B11" s="17" t="s">
        <v>12</v>
      </c>
      <c r="C11" s="1" t="s">
        <v>10</v>
      </c>
      <c r="D11" s="1">
        <v>2</v>
      </c>
      <c r="E11" s="1">
        <v>50</v>
      </c>
      <c r="F11" s="9">
        <v>256</v>
      </c>
      <c r="G11" s="9">
        <v>0</v>
      </c>
      <c r="H11" s="9">
        <v>12800</v>
      </c>
      <c r="I11" s="9">
        <v>0</v>
      </c>
      <c r="J11" s="9">
        <v>12800</v>
      </c>
    </row>
    <row r="12" spans="1:10">
      <c r="A12" s="17" t="s">
        <v>13</v>
      </c>
      <c r="B12" s="17" t="s">
        <v>14</v>
      </c>
      <c r="C12" s="1" t="s">
        <v>15</v>
      </c>
      <c r="D12" s="1">
        <v>2</v>
      </c>
      <c r="E12" s="1">
        <v>12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</row>
    <row r="13" spans="1:10">
      <c r="A13" s="1" t="s">
        <v>16</v>
      </c>
      <c r="B13" s="1" t="s">
        <v>17</v>
      </c>
      <c r="C13" s="1" t="s">
        <v>15</v>
      </c>
      <c r="D13" s="1">
        <v>3</v>
      </c>
      <c r="E13" s="1">
        <v>2.4</v>
      </c>
      <c r="F13" s="9">
        <v>10750.29</v>
      </c>
      <c r="G13" s="9">
        <v>25800.7</v>
      </c>
      <c r="H13" s="9">
        <v>0</v>
      </c>
      <c r="I13" s="9">
        <v>0</v>
      </c>
      <c r="J13" s="9">
        <v>25800.7</v>
      </c>
    </row>
    <row r="14" spans="1:10">
      <c r="A14" s="1" t="s">
        <v>19</v>
      </c>
      <c r="B14" s="1" t="s">
        <v>20</v>
      </c>
      <c r="C14" s="1" t="s">
        <v>21</v>
      </c>
      <c r="D14" s="1">
        <v>3</v>
      </c>
      <c r="E14" s="1">
        <v>60</v>
      </c>
      <c r="F14" s="9">
        <v>37.21</v>
      </c>
      <c r="G14" s="9">
        <v>2232.6</v>
      </c>
      <c r="H14" s="9">
        <v>0</v>
      </c>
      <c r="I14" s="9">
        <v>0</v>
      </c>
      <c r="J14" s="9">
        <v>2232.6</v>
      </c>
    </row>
    <row r="15" spans="1:10">
      <c r="A15" s="2" t="s">
        <v>22</v>
      </c>
      <c r="B15" s="2" t="s">
        <v>23</v>
      </c>
      <c r="C15" s="1" t="s">
        <v>15</v>
      </c>
      <c r="D15" s="1">
        <v>3</v>
      </c>
      <c r="E15" s="1">
        <v>9.6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</row>
    <row r="16" spans="1:10">
      <c r="A16" s="1" t="s">
        <v>49</v>
      </c>
      <c r="B16" s="1" t="s">
        <v>50</v>
      </c>
      <c r="C16" s="1" t="s">
        <v>15</v>
      </c>
      <c r="D16" s="1">
        <v>4</v>
      </c>
      <c r="E16" s="1">
        <v>3.26</v>
      </c>
      <c r="F16" s="9">
        <v>209.39</v>
      </c>
      <c r="G16" s="9">
        <v>683.45</v>
      </c>
      <c r="H16" s="9">
        <v>0</v>
      </c>
      <c r="I16" s="9">
        <v>0</v>
      </c>
      <c r="J16" s="9">
        <v>683.45</v>
      </c>
    </row>
    <row r="17" spans="1:10">
      <c r="A17" s="1" t="s">
        <v>51</v>
      </c>
      <c r="B17" s="1" t="s">
        <v>52</v>
      </c>
      <c r="C17" s="1" t="s">
        <v>15</v>
      </c>
      <c r="D17" s="1">
        <v>4</v>
      </c>
      <c r="E17" s="1">
        <v>6.34</v>
      </c>
      <c r="F17" s="9">
        <v>202.84</v>
      </c>
      <c r="G17" s="9">
        <v>1285.19</v>
      </c>
      <c r="H17" s="9">
        <v>0</v>
      </c>
      <c r="I17" s="9">
        <v>0</v>
      </c>
      <c r="J17" s="9">
        <v>1285.19</v>
      </c>
    </row>
    <row r="18" spans="1:10">
      <c r="A18" s="1" t="s">
        <v>53</v>
      </c>
      <c r="B18" s="1" t="s">
        <v>54</v>
      </c>
      <c r="C18" s="1" t="s">
        <v>15</v>
      </c>
      <c r="D18" s="1">
        <v>4</v>
      </c>
      <c r="E18" s="1">
        <v>9.6</v>
      </c>
      <c r="F18" s="9">
        <v>90</v>
      </c>
      <c r="G18" s="9">
        <v>864</v>
      </c>
      <c r="H18" s="9">
        <v>0</v>
      </c>
      <c r="I18" s="9">
        <v>0</v>
      </c>
      <c r="J18" s="9">
        <v>864</v>
      </c>
    </row>
    <row r="19" spans="1:10">
      <c r="A19" s="1" t="s">
        <v>55</v>
      </c>
      <c r="B19" s="1" t="s">
        <v>56</v>
      </c>
      <c r="C19" s="1" t="s">
        <v>15</v>
      </c>
      <c r="D19" s="1">
        <v>4</v>
      </c>
      <c r="E19" s="1">
        <v>9.6</v>
      </c>
      <c r="F19" s="9">
        <v>1</v>
      </c>
      <c r="G19" s="9">
        <v>9.6</v>
      </c>
      <c r="H19" s="9">
        <v>0</v>
      </c>
      <c r="I19" s="9">
        <v>0</v>
      </c>
      <c r="J19" s="9">
        <v>9.6</v>
      </c>
    </row>
    <row r="20" spans="1:10">
      <c r="A20" s="11" t="s">
        <v>19</v>
      </c>
      <c r="B20" s="11" t="s">
        <v>20</v>
      </c>
      <c r="C20" s="1" t="s">
        <v>21</v>
      </c>
      <c r="D20" s="1">
        <v>2</v>
      </c>
      <c r="E20" s="1">
        <v>12.5</v>
      </c>
      <c r="F20" s="9">
        <v>37.21</v>
      </c>
      <c r="G20" s="9">
        <v>465.13</v>
      </c>
      <c r="H20" s="9">
        <v>0</v>
      </c>
      <c r="I20" s="9">
        <v>0</v>
      </c>
      <c r="J20" s="9">
        <v>465.13</v>
      </c>
    </row>
  </sheetData>
  <autoFilter ref="A1:K20" xr:uid="{7870E5B3-8CFF-4691-95E3-C7BD605F5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2023-03-15T15:18:22Z</dcterms:created>
  <dcterms:modified xsi:type="dcterms:W3CDTF">2026-08-10T19:16:03Z</dcterms:modified>
  <cp:category/>
  <cp:contentStatus/>
</cp:coreProperties>
</file>