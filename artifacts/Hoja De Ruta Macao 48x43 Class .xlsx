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rplaksa.sharepoint.com/sites/FPKFabricademuebles/Shared Documents/02. Diseño de productos/Hojas De Ruta/Muebles Linea Class/Mueble Macao de 48x43 Class/"/>
    </mc:Choice>
  </mc:AlternateContent>
  <xr:revisionPtr revIDLastSave="0" documentId="8_{74F09609-36B0-4380-A208-A2E5ED0A5094}" xr6:coauthVersionLast="47" xr6:coauthVersionMax="47" xr10:uidLastSave="{00000000-0000-0000-0000-000000000000}"/>
  <bookViews>
    <workbookView xWindow="-120" yWindow="-120" windowWidth="20730" windowHeight="11040" xr2:uid="{F8ABFCB4-C560-45C9-B7EE-E95A5347C992}"/>
  </bookViews>
  <sheets>
    <sheet name="LM" sheetId="1" r:id="rId1"/>
    <sheet name="Optimización" sheetId="3" r:id="rId2"/>
    <sheet name="Herrajes" sheetId="2" r:id="rId3"/>
    <sheet name="Analisis de area" sheetId="4" r:id="rId4"/>
  </sheets>
  <definedNames>
    <definedName name="_xlnm._FilterDatabase" localSheetId="2" hidden="1">Herrajes!$A$5:$D$29</definedName>
    <definedName name="_xlnm.Print_Area" localSheetId="0">LM!$A$1:$J$73</definedName>
  </definedNames>
  <calcPr calcId="191028" concurrentManual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" l="1"/>
  <c r="H16" i="1"/>
  <c r="L10" i="4"/>
  <c r="K10" i="4"/>
  <c r="K9" i="4"/>
  <c r="D4" i="4"/>
  <c r="D5" i="4"/>
  <c r="D6" i="4"/>
  <c r="D7" i="4"/>
  <c r="D8" i="4"/>
  <c r="D9" i="4"/>
  <c r="D10" i="4"/>
  <c r="D11" i="4"/>
  <c r="D12" i="4"/>
  <c r="D13" i="4"/>
  <c r="D14" i="4"/>
  <c r="D15" i="4"/>
  <c r="D3" i="4"/>
  <c r="D16" i="4" s="1"/>
  <c r="E16" i="4" s="1"/>
  <c r="C26" i="3"/>
  <c r="D4" i="3"/>
  <c r="C4" i="3"/>
  <c r="H15" i="1" l="1"/>
  <c r="H22" i="1"/>
  <c r="H21" i="1"/>
  <c r="H20" i="1"/>
  <c r="H14" i="1"/>
  <c r="H13" i="1"/>
  <c r="H12" i="1"/>
  <c r="H11" i="1"/>
  <c r="H10" i="1"/>
  <c r="J23" i="1" l="1"/>
  <c r="H6" i="1"/>
  <c r="H9" i="1" l="1"/>
  <c r="H8" i="1"/>
  <c r="H7" i="1"/>
  <c r="J16" i="1" l="1"/>
</calcChain>
</file>

<file path=xl/sharedStrings.xml><?xml version="1.0" encoding="utf-8"?>
<sst xmlns="http://schemas.openxmlformats.org/spreadsheetml/2006/main" count="169" uniqueCount="123">
  <si>
    <t xml:space="preserve">HOJA DE RUTA - MACAO CLASS DE 48X43    </t>
  </si>
  <si>
    <t>COLOR:</t>
  </si>
  <si>
    <t>GRACIA</t>
  </si>
  <si>
    <t>CANT:</t>
  </si>
  <si>
    <t>PEDIDO</t>
  </si>
  <si>
    <t>MATERIAL DE 15MM ENCHAPADO EN 0.45MM</t>
  </si>
  <si>
    <t>LETRA</t>
  </si>
  <si>
    <t>PIEZA</t>
  </si>
  <si>
    <t>LARGO</t>
  </si>
  <si>
    <t>ANCHO</t>
  </si>
  <si>
    <t>CANTIDAD</t>
  </si>
  <si>
    <t>Enchape lado largo</t>
  </si>
  <si>
    <t>Enchape lado Ancho</t>
  </si>
  <si>
    <t>Total metros canto</t>
  </si>
  <si>
    <t>Observaciones</t>
  </si>
  <si>
    <t>A</t>
  </si>
  <si>
    <t>BASE MUEBLE</t>
  </si>
  <si>
    <t>B</t>
  </si>
  <si>
    <t>LATERAL DERECHO MUEBLE</t>
  </si>
  <si>
    <t>C</t>
  </si>
  <si>
    <t>LATERAL IZQUIERDO MUEBLE</t>
  </si>
  <si>
    <t>D</t>
  </si>
  <si>
    <t>REFUERZO DELANTERO MUEBLE</t>
  </si>
  <si>
    <t>E</t>
  </si>
  <si>
    <t>REFUERZO TRASERO MUEBLE</t>
  </si>
  <si>
    <t>F</t>
  </si>
  <si>
    <t>ENTREPAÑO</t>
  </si>
  <si>
    <t>G</t>
  </si>
  <si>
    <r>
      <rPr>
        <sz val="11"/>
        <color rgb="FF000000"/>
        <rFont val="Calibri"/>
        <scheme val="minor"/>
      </rPr>
      <t xml:space="preserve">LATERAL CAJON DERECHO - </t>
    </r>
    <r>
      <rPr>
        <b/>
        <sz val="11"/>
        <color rgb="FF000000"/>
        <rFont val="Calibri"/>
        <scheme val="minor"/>
      </rPr>
      <t>R15L350P8</t>
    </r>
  </si>
  <si>
    <t>R15-1L prof 8- Enchape lado corto ran arrib a la derecha</t>
  </si>
  <si>
    <t>H</t>
  </si>
  <si>
    <r>
      <rPr>
        <sz val="11"/>
        <color rgb="FF000000"/>
        <rFont val="Calibri"/>
        <scheme val="minor"/>
      </rPr>
      <t xml:space="preserve">LATERAL CAJON IZQUIERDO - </t>
    </r>
    <r>
      <rPr>
        <b/>
        <sz val="11"/>
        <color rgb="FF000000"/>
        <rFont val="Calibri"/>
        <scheme val="minor"/>
      </rPr>
      <t>R15L350P8</t>
    </r>
  </si>
  <si>
    <t>R15-1L porf 8- Enchape lado corto ran arrib a la izquierda</t>
  </si>
  <si>
    <t>I</t>
  </si>
  <si>
    <t>TRASERO CAJON</t>
  </si>
  <si>
    <t>J</t>
  </si>
  <si>
    <t>GOLA CAJONES MUEBLE</t>
  </si>
  <si>
    <t>TOTAL</t>
  </si>
  <si>
    <t>MATERIAL DE 15MM ENCHAPADO EN 2MM</t>
  </si>
  <si>
    <t>K</t>
  </si>
  <si>
    <t>PUERTA IZQUIERDA MUEBLE</t>
  </si>
  <si>
    <t>L</t>
  </si>
  <si>
    <t>PUERTA DERECHA MUEBLE</t>
  </si>
  <si>
    <t>M</t>
  </si>
  <si>
    <r>
      <rPr>
        <sz val="11"/>
        <color rgb="FF000000"/>
        <rFont val="Calibri"/>
        <scheme val="minor"/>
      </rPr>
      <t xml:space="preserve">PARCHE CAJON -  </t>
    </r>
    <r>
      <rPr>
        <b/>
        <sz val="11"/>
        <color rgb="FF000000"/>
        <rFont val="Calibri"/>
        <scheme val="minor"/>
      </rPr>
      <t>R36L471P8</t>
    </r>
  </si>
  <si>
    <t>CANT MBL</t>
  </si>
  <si>
    <t>Material de fondo 6 mm</t>
  </si>
  <si>
    <t>N</t>
  </si>
  <si>
    <t>FONDO</t>
  </si>
  <si>
    <t>EMPAQUE</t>
  </si>
  <si>
    <t>TETRIS PARTE TRASERA</t>
  </si>
  <si>
    <t>NIVEL</t>
  </si>
  <si>
    <t xml:space="preserve">A </t>
  </si>
  <si>
    <t>D -E - J - M</t>
  </si>
  <si>
    <t xml:space="preserve">F -G </t>
  </si>
  <si>
    <t xml:space="preserve"> L -K -H - I</t>
  </si>
  <si>
    <t>Optimización 1</t>
  </si>
  <si>
    <t>Consumo Tableros</t>
  </si>
  <si>
    <t>Material 15mm</t>
  </si>
  <si>
    <t>Unidades T1</t>
  </si>
  <si>
    <t>T1: 1830x2440</t>
  </si>
  <si>
    <t>T2: 1530x2440</t>
  </si>
  <si>
    <t>N° Laminas T1</t>
  </si>
  <si>
    <t>Unidades T2</t>
  </si>
  <si>
    <t>N° Laminas T2</t>
  </si>
  <si>
    <t>Optimización 1: 1.83x2.44</t>
  </si>
  <si>
    <t>Material 6mm</t>
  </si>
  <si>
    <t>Unidades</t>
  </si>
  <si>
    <t>.</t>
  </si>
  <si>
    <t>N° Laminas</t>
  </si>
  <si>
    <t>MUEBLE MACAO CLASS 48X43</t>
  </si>
  <si>
    <t>Listado de herrajes</t>
  </si>
  <si>
    <t>Codigo</t>
  </si>
  <si>
    <t>Item</t>
  </si>
  <si>
    <t>Cantidad</t>
  </si>
  <si>
    <t>observasiones</t>
  </si>
  <si>
    <t>CEMP03-0046-000-0000</t>
  </si>
  <si>
    <t>BOLSA RESELLABLE 41X28CMPARA HERRAJES</t>
  </si>
  <si>
    <t>CMPD07-0008-000-0000</t>
  </si>
  <si>
    <t>CHAZO EXANPSIVO 5/16IN</t>
  </si>
  <si>
    <t>CEMP03-0050-000-0000</t>
  </si>
  <si>
    <t>GRAPAS PARA CAJAS J-08</t>
  </si>
  <si>
    <t>CEMP03-0045-000-0000</t>
  </si>
  <si>
    <t>LAMINA CARTON 1.20X2MT CALIBRE 750</t>
  </si>
  <si>
    <t>CMPD07-0002-000-0000</t>
  </si>
  <si>
    <t>MANIJA 128MM GRIS ALUMINIO</t>
  </si>
  <si>
    <t>CMPD07-0003-000-0000</t>
  </si>
  <si>
    <t>MINIFIX TUERCA Y PERNO 34MM</t>
  </si>
  <si>
    <t>CMPD07-0014-000-0000</t>
  </si>
  <si>
    <t>PAR BISAGRAS SEMI-PARCHE 35MM HBM188-02</t>
  </si>
  <si>
    <t>CMPD07-0013-000-0000</t>
  </si>
  <si>
    <t>PAR BISAGRAS PARCHE 35MM HBM188-01</t>
  </si>
  <si>
    <t>CMPD07-0169-000-0000</t>
  </si>
  <si>
    <t>PAR BISAGRA 35MM CIERRE SUAVE PARCHE ACERO201 HT-02.SS-01FPLK</t>
  </si>
  <si>
    <t>CMPD07-0011-000-0000</t>
  </si>
  <si>
    <t>PAR BISAGRAS INTERNA CIERRE LENTO 35MM BONUIT HBM554-03</t>
  </si>
  <si>
    <t>CMPD07-0017-000-0000</t>
  </si>
  <si>
    <t>PAR RIEL FULL EXTENTION MEDIANO 35MM MOBILE HRE126-35</t>
  </si>
  <si>
    <t>CMPD07-0010-000-0000</t>
  </si>
  <si>
    <t>PAR RIEL FULL EXTENTION LIVIANO 35X350MM MOBILE HRE220-35</t>
  </si>
  <si>
    <t>CMPD07-0018-000-0000</t>
  </si>
  <si>
    <t>PAR RIEL FULL EXTENTION CIERRE LENTO 35MM BONUIT HRE550-35</t>
  </si>
  <si>
    <t>CMPD07-0016-000-0000</t>
  </si>
  <si>
    <t>PATA AJUSTABLE MUEBLE 10CM</t>
  </si>
  <si>
    <t>CMPD07-0019-000-0000</t>
  </si>
  <si>
    <t>PLATERO COCINA 180 70CM</t>
  </si>
  <si>
    <t>CMPD07-0009-000-0000</t>
  </si>
  <si>
    <t>SOPORTE ENTREPAÑO 5X9 L GRIS</t>
  </si>
  <si>
    <t>CMPD07-0004-000-0000</t>
  </si>
  <si>
    <t>TARUGO MADERA 8X30MM</t>
  </si>
  <si>
    <t>CMPD07-0006-000-0000</t>
  </si>
  <si>
    <t>TORNILLO ENSAMBLE 6X2IN</t>
  </si>
  <si>
    <t>CMPD07-0012-000-0000</t>
  </si>
  <si>
    <t>TORNILLO ENSAMBLE 6X1IN</t>
  </si>
  <si>
    <t>CMPD07-0007-000-0000</t>
  </si>
  <si>
    <t>TORNILLO MURO 10X2 1/2IN</t>
  </si>
  <si>
    <t>CMPD07-0005-000-0000</t>
  </si>
  <si>
    <t>TORNILLO P LAMINA 8X5/8</t>
  </si>
  <si>
    <t>CEMP03</t>
  </si>
  <si>
    <t xml:space="preserve">ETIQUETA ADHESIVA MUEBLE </t>
  </si>
  <si>
    <t xml:space="preserve">ETIQUETA ADHESIVA TRAZABILIDAD MUEBLE </t>
  </si>
  <si>
    <t>INSTRUCTIVO MUEBLE</t>
  </si>
  <si>
    <t>AREA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</si>
</sst>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b/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1">
    <xf numFmtId="0" fontId="0" fillId="0" borderId="0" xfId="0"/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4" xfId="0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1" fillId="2" borderId="19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2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2" fillId="0" borderId="1" xfId="0" applyFont="1" applyBorder="1"/>
    <xf numFmtId="0" fontId="0" fillId="0" borderId="20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3" xfId="0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7" fillId="0" borderId="0" xfId="0" applyFont="1"/>
    <xf numFmtId="0" fontId="4" fillId="0" borderId="25" xfId="0" applyFont="1" applyBorder="1" applyAlignment="1">
      <alignment horizontal="left" vertical="center" wrapText="1"/>
    </xf>
    <xf numFmtId="0" fontId="5" fillId="0" borderId="26" xfId="0" applyFont="1" applyBorder="1" applyAlignment="1">
      <alignment horizontal="center"/>
    </xf>
    <xf numFmtId="0" fontId="0" fillId="0" borderId="26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1" fillId="0" borderId="30" xfId="0" applyFont="1" applyBorder="1" applyAlignment="1">
      <alignment horizontal="center" vertical="center"/>
    </xf>
    <xf numFmtId="0" fontId="0" fillId="0" borderId="30" xfId="0" applyBorder="1"/>
    <xf numFmtId="0" fontId="0" fillId="0" borderId="30" xfId="0" applyBorder="1" applyAlignment="1">
      <alignment horizontal="center" vertical="center"/>
    </xf>
    <xf numFmtId="0" fontId="0" fillId="0" borderId="30" xfId="0" applyBorder="1" applyAlignment="1">
      <alignment horizontal="center"/>
    </xf>
    <xf numFmtId="0" fontId="0" fillId="0" borderId="29" xfId="0" applyBorder="1" applyAlignment="1">
      <alignment horizontal="center"/>
    </xf>
    <xf numFmtId="0" fontId="1" fillId="0" borderId="28" xfId="0" applyFont="1" applyBorder="1" applyAlignment="1">
      <alignment horizontal="center" vertical="center"/>
    </xf>
    <xf numFmtId="0" fontId="8" fillId="0" borderId="3" xfId="0" applyFont="1" applyBorder="1"/>
    <xf numFmtId="0" fontId="9" fillId="0" borderId="3" xfId="0" applyFont="1" applyBorder="1"/>
    <xf numFmtId="0" fontId="8" fillId="0" borderId="4" xfId="0" applyFont="1" applyBorder="1"/>
    <xf numFmtId="0" fontId="9" fillId="0" borderId="4" xfId="0" applyFont="1" applyBorder="1"/>
    <xf numFmtId="0" fontId="0" fillId="0" borderId="1" xfId="0" applyBorder="1"/>
    <xf numFmtId="0" fontId="0" fillId="0" borderId="22" xfId="0" applyBorder="1" applyAlignment="1">
      <alignment horizontal="center"/>
    </xf>
    <xf numFmtId="0" fontId="4" fillId="0" borderId="0" xfId="0" applyFont="1" applyAlignment="1">
      <alignment horizontal="center"/>
    </xf>
    <xf numFmtId="0" fontId="1" fillId="5" borderId="31" xfId="0" applyFont="1" applyFill="1" applyBorder="1"/>
    <xf numFmtId="0" fontId="0" fillId="5" borderId="31" xfId="0" applyFill="1" applyBorder="1"/>
    <xf numFmtId="0" fontId="0" fillId="5" borderId="32" xfId="0" applyFill="1" applyBorder="1"/>
    <xf numFmtId="0" fontId="0" fillId="5" borderId="24" xfId="0" applyFill="1" applyBorder="1"/>
    <xf numFmtId="0" fontId="1" fillId="5" borderId="33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2" fontId="0" fillId="0" borderId="20" xfId="0" applyNumberFormat="1" applyBorder="1" applyAlignment="1">
      <alignment horizontal="center"/>
    </xf>
    <xf numFmtId="0" fontId="1" fillId="2" borderId="36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1" fillId="5" borderId="1" xfId="0" applyFont="1" applyFill="1" applyBorder="1"/>
    <xf numFmtId="0" fontId="0" fillId="5" borderId="1" xfId="0" applyFill="1" applyBorder="1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1" fillId="2" borderId="38" xfId="0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2" fillId="0" borderId="3" xfId="0" applyFont="1" applyBorder="1"/>
    <xf numFmtId="15" fontId="4" fillId="0" borderId="25" xfId="0" applyNumberFormat="1" applyFont="1" applyBorder="1" applyAlignment="1">
      <alignment horizontal="right" vertical="center" wrapText="1"/>
    </xf>
    <xf numFmtId="0" fontId="5" fillId="0" borderId="27" xfId="0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1" fillId="0" borderId="3" xfId="0" applyFont="1" applyBorder="1"/>
    <xf numFmtId="0" fontId="4" fillId="0" borderId="0" xfId="0" applyFont="1" applyAlignment="1">
      <alignment horizontal="left" vertical="center" wrapText="1"/>
    </xf>
    <xf numFmtId="0" fontId="1" fillId="2" borderId="3" xfId="0" applyFont="1" applyFill="1" applyBorder="1" applyAlignment="1">
      <alignment horizontal="center"/>
    </xf>
    <xf numFmtId="0" fontId="0" fillId="0" borderId="5" xfId="0" applyBorder="1"/>
    <xf numFmtId="2" fontId="0" fillId="0" borderId="5" xfId="0" applyNumberFormat="1" applyBorder="1" applyAlignment="1">
      <alignment horizontal="center"/>
    </xf>
    <xf numFmtId="2" fontId="13" fillId="0" borderId="0" xfId="0" applyNumberFormat="1" applyFont="1"/>
    <xf numFmtId="2" fontId="14" fillId="0" borderId="0" xfId="0" applyNumberFormat="1" applyFont="1"/>
    <xf numFmtId="2" fontId="3" fillId="0" borderId="0" xfId="0" applyNumberFormat="1" applyFont="1"/>
    <xf numFmtId="15" fontId="4" fillId="0" borderId="0" xfId="0" applyNumberFormat="1" applyFont="1" applyAlignment="1">
      <alignment horizontal="left" vertical="center" wrapText="1"/>
    </xf>
    <xf numFmtId="0" fontId="3" fillId="0" borderId="1" xfId="0" applyFont="1" applyBorder="1"/>
    <xf numFmtId="0" fontId="4" fillId="0" borderId="0" xfId="0" applyFont="1" applyAlignment="1">
      <alignment horizontal="center" vertical="center" wrapText="1"/>
    </xf>
    <xf numFmtId="0" fontId="8" fillId="0" borderId="41" xfId="0" applyFont="1" applyBorder="1"/>
    <xf numFmtId="0" fontId="15" fillId="0" borderId="3" xfId="0" applyFont="1" applyBorder="1"/>
    <xf numFmtId="0" fontId="9" fillId="0" borderId="22" xfId="0" applyFont="1" applyBorder="1"/>
    <xf numFmtId="0" fontId="6" fillId="0" borderId="42" xfId="0" applyFont="1" applyBorder="1" applyAlignment="1">
      <alignment horizontal="center"/>
    </xf>
    <xf numFmtId="0" fontId="9" fillId="0" borderId="41" xfId="0" applyFont="1" applyBorder="1"/>
    <xf numFmtId="15" fontId="4" fillId="0" borderId="0" xfId="0" applyNumberFormat="1" applyFont="1" applyAlignment="1">
      <alignment horizontal="right" vertical="center" wrapText="1"/>
    </xf>
    <xf numFmtId="0" fontId="1" fillId="5" borderId="0" xfId="0" applyFont="1" applyFill="1" applyAlignment="1">
      <alignment horizontal="center"/>
    </xf>
    <xf numFmtId="0" fontId="0" fillId="0" borderId="43" xfId="0" applyBorder="1" applyAlignment="1">
      <alignment horizontal="center"/>
    </xf>
    <xf numFmtId="0" fontId="16" fillId="6" borderId="2" xfId="0" applyFont="1" applyFill="1" applyBorder="1" applyAlignment="1">
      <alignment wrapText="1"/>
    </xf>
    <xf numFmtId="0" fontId="17" fillId="0" borderId="5" xfId="0" applyFont="1" applyBorder="1"/>
    <xf numFmtId="0" fontId="18" fillId="7" borderId="7" xfId="0" applyFont="1" applyFill="1" applyBorder="1" applyAlignment="1">
      <alignment horizontal="center" vertical="center"/>
    </xf>
    <xf numFmtId="0" fontId="19" fillId="7" borderId="5" xfId="0" applyFont="1" applyFill="1" applyBorder="1" applyAlignment="1">
      <alignment horizontal="center"/>
    </xf>
    <xf numFmtId="0" fontId="19" fillId="7" borderId="6" xfId="0" applyFont="1" applyFill="1" applyBorder="1" applyAlignment="1">
      <alignment horizontal="center"/>
    </xf>
    <xf numFmtId="0" fontId="19" fillId="7" borderId="24" xfId="0" applyFont="1" applyFill="1" applyBorder="1" applyAlignment="1">
      <alignment horizontal="center"/>
    </xf>
    <xf numFmtId="0" fontId="19" fillId="7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0" fontId="11" fillId="6" borderId="3" xfId="0" applyFont="1" applyFill="1" applyBorder="1"/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22" xfId="0" applyFill="1" applyBorder="1" applyAlignment="1">
      <alignment horizontal="center"/>
    </xf>
    <xf numFmtId="0" fontId="19" fillId="7" borderId="40" xfId="0" applyFont="1" applyFill="1" applyBorder="1" applyAlignment="1">
      <alignment horizontal="center"/>
    </xf>
    <xf numFmtId="0" fontId="18" fillId="7" borderId="3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9" fillId="7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8" fillId="7" borderId="7" xfId="0" applyFont="1" applyFill="1" applyBorder="1" applyAlignment="1">
      <alignment horizontal="center" vertical="center" wrapText="1"/>
    </xf>
    <xf numFmtId="0" fontId="18" fillId="7" borderId="27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0" fontId="18" fillId="7" borderId="7" xfId="0" applyFont="1" applyFill="1" applyBorder="1" applyAlignment="1">
      <alignment horizontal="center" vertical="center"/>
    </xf>
    <xf numFmtId="0" fontId="4" fillId="0" borderId="2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0" xfId="0" applyFont="1" applyAlignment="1">
      <alignment horizontal="right" vertical="center" wrapText="1"/>
    </xf>
    <xf numFmtId="0" fontId="4" fillId="0" borderId="25" xfId="0" applyFont="1" applyBorder="1" applyAlignment="1">
      <alignment horizontal="right" vertical="center" wrapText="1"/>
    </xf>
    <xf numFmtId="0" fontId="18" fillId="7" borderId="2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2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227578</xdr:colOff>
      <xdr:row>23</xdr:row>
      <xdr:rowOff>18760</xdr:rowOff>
    </xdr:from>
    <xdr:to>
      <xdr:col>8</xdr:col>
      <xdr:colOff>915266</xdr:colOff>
      <xdr:row>37</xdr:row>
      <xdr:rowOff>163505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4E2C95A-ACE4-1BA8-F9A7-0694514968ED}"/>
            </a:ext>
            <a:ext uri="{147F2762-F138-4A5C-976F-8EAC2B608ADB}">
              <a16:predDERef xmlns:a16="http://schemas.microsoft.com/office/drawing/2014/main" pred="{3286B5F1-E4FD-46F7-B117-5E170BE156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33228" y="4809835"/>
          <a:ext cx="3202288" cy="2849845"/>
        </a:xfrm>
        <a:prstGeom prst="rect">
          <a:avLst/>
        </a:prstGeom>
      </xdr:spPr>
    </xdr:pic>
    <xdr:clientData/>
  </xdr:twoCellAnchor>
  <xdr:twoCellAnchor editAs="oneCell">
    <xdr:from>
      <xdr:col>0</xdr:col>
      <xdr:colOff>266481</xdr:colOff>
      <xdr:row>46</xdr:row>
      <xdr:rowOff>57366</xdr:rowOff>
    </xdr:from>
    <xdr:to>
      <xdr:col>8</xdr:col>
      <xdr:colOff>1469933</xdr:colOff>
      <xdr:row>72</xdr:row>
      <xdr:rowOff>142874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210D9B8-4473-63CE-0787-6D86419E36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2778078" y="6756444"/>
          <a:ext cx="5038508" cy="10061702"/>
        </a:xfrm>
        <a:prstGeom prst="rect">
          <a:avLst/>
        </a:prstGeom>
      </xdr:spPr>
    </xdr:pic>
    <xdr:clientData/>
  </xdr:twoCellAnchor>
  <xdr:twoCellAnchor>
    <xdr:from>
      <xdr:col>3</xdr:col>
      <xdr:colOff>1031875</xdr:colOff>
      <xdr:row>30</xdr:row>
      <xdr:rowOff>168275</xdr:rowOff>
    </xdr:from>
    <xdr:to>
      <xdr:col>4</xdr:col>
      <xdr:colOff>911225</xdr:colOff>
      <xdr:row>36</xdr:row>
      <xdr:rowOff>89408</xdr:rowOff>
    </xdr:to>
    <xdr:sp macro="" textlink="">
      <xdr:nvSpPr>
        <xdr:cNvPr id="5" name="Flecha: circular 4">
          <a:extLst>
            <a:ext uri="{FF2B5EF4-FFF2-40B4-BE49-F238E27FC236}">
              <a16:creationId xmlns:a16="http://schemas.microsoft.com/office/drawing/2014/main" id="{E718A05E-0F9A-9006-17A8-BEA396A44EBC}"/>
            </a:ext>
            <a:ext uri="{147F2762-F138-4A5C-976F-8EAC2B608ADB}">
              <a16:predDERef xmlns:a16="http://schemas.microsoft.com/office/drawing/2014/main" pred="{A210D9B8-4473-63CE-0787-6D86419E3669}"/>
            </a:ext>
          </a:extLst>
        </xdr:cNvPr>
        <xdr:cNvSpPr/>
      </xdr:nvSpPr>
      <xdr:spPr>
        <a:xfrm>
          <a:off x="4670425" y="6311900"/>
          <a:ext cx="1098550" cy="1083183"/>
        </a:xfrm>
        <a:prstGeom prst="circular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333375</xdr:colOff>
      <xdr:row>0</xdr:row>
      <xdr:rowOff>0</xdr:rowOff>
    </xdr:from>
    <xdr:to>
      <xdr:col>1</xdr:col>
      <xdr:colOff>1990725</xdr:colOff>
      <xdr:row>3</xdr:row>
      <xdr:rowOff>28575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4E14ED80-4577-4232-BCCC-19E060D37C3A}"/>
            </a:ext>
            <a:ext uri="{147F2762-F138-4A5C-976F-8EAC2B608ADB}">
              <a16:predDERef xmlns:a16="http://schemas.microsoft.com/office/drawing/2014/main" pred="{E718A05E-0F9A-9006-17A8-BEA396A44E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b="24497"/>
        <a:stretch/>
      </xdr:blipFill>
      <xdr:spPr>
        <a:xfrm>
          <a:off x="333375" y="0"/>
          <a:ext cx="2162175" cy="933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28575</xdr:colOff>
      <xdr:row>0</xdr:row>
      <xdr:rowOff>0</xdr:rowOff>
    </xdr:from>
    <xdr:to>
      <xdr:col>13</xdr:col>
      <xdr:colOff>209550</xdr:colOff>
      <xdr:row>11</xdr:row>
      <xdr:rowOff>80494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9EA15ED-AB61-44C1-B4A5-8E7348BE9A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19550" y="0"/>
          <a:ext cx="7038975" cy="2214094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10</xdr:row>
      <xdr:rowOff>66675</xdr:rowOff>
    </xdr:from>
    <xdr:to>
      <xdr:col>12</xdr:col>
      <xdr:colOff>438150</xdr:colOff>
      <xdr:row>20</xdr:row>
      <xdr:rowOff>27550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3EC221F-7208-4868-8CD5-78CACF6DE2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19550" y="2009775"/>
          <a:ext cx="6505575" cy="1865875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857250</xdr:colOff>
      <xdr:row>22</xdr:row>
      <xdr:rowOff>28575</xdr:rowOff>
    </xdr:from>
    <xdr:to>
      <xdr:col>13</xdr:col>
      <xdr:colOff>599142</xdr:colOff>
      <xdr:row>33</xdr:row>
      <xdr:rowOff>56882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3561C5D-78BA-4E16-BC54-48ADBFB6E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81450" y="4276725"/>
          <a:ext cx="7466667" cy="2142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54B3400-A075-4DF0-88C0-CBF48524D33F}">
  <we:reference id="WA200010725" version="1.0.0.1" store="es-es" storeType="omex"/>
  <we:alternateReferences>
    <we:reference id="WA200010725" version="1.0.0.1" store="es-es" storeType="omex"/>
  </we:alternateReferences>
  <we:properties>
    <we:property name="claude.fileId" value="&quot;88f73c8a-27cf-45aa-bbfa-4544427799e6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0AD34-A033-48F4-9387-AE118BDEC0C4}">
  <sheetPr>
    <pageSetUpPr fitToPage="1"/>
  </sheetPr>
  <dimension ref="A1:K37"/>
  <sheetViews>
    <sheetView tabSelected="1" view="pageBreakPreview" topLeftCell="B1" zoomScale="60" zoomScaleNormal="55" workbookViewId="0">
      <selection activeCell="J5" sqref="J5"/>
    </sheetView>
  </sheetViews>
  <sheetFormatPr defaultColWidth="11.42578125" defaultRowHeight="15"/>
  <cols>
    <col min="1" max="1" width="7.5703125" customWidth="1"/>
    <col min="2" max="2" width="35.42578125" customWidth="1"/>
    <col min="3" max="3" width="10.28515625" customWidth="1"/>
    <col min="4" max="4" width="10.5703125" customWidth="1"/>
    <col min="5" max="5" width="13" customWidth="1"/>
    <col min="6" max="6" width="18.28515625" customWidth="1"/>
    <col min="7" max="7" width="19.42578125" bestFit="1" customWidth="1"/>
    <col min="8" max="8" width="18.28515625" bestFit="1" customWidth="1"/>
    <col min="9" max="9" width="50.5703125" customWidth="1"/>
    <col min="10" max="10" width="14.140625" customWidth="1"/>
  </cols>
  <sheetData>
    <row r="1" spans="1:11" ht="23.25" customHeight="1">
      <c r="A1" s="114"/>
      <c r="B1" s="115"/>
      <c r="C1" s="115" t="s">
        <v>0</v>
      </c>
      <c r="D1" s="115"/>
      <c r="E1" s="115"/>
      <c r="F1" s="115"/>
      <c r="G1" s="115"/>
      <c r="H1" s="115"/>
      <c r="I1" s="80"/>
      <c r="J1">
        <v>0</v>
      </c>
    </row>
    <row r="2" spans="1:11" ht="24" customHeight="1">
      <c r="A2" s="114"/>
      <c r="B2" s="115"/>
      <c r="C2" s="118" t="s">
        <v>1</v>
      </c>
      <c r="D2" s="118"/>
      <c r="E2" s="118"/>
      <c r="F2" s="71" t="s">
        <v>2</v>
      </c>
      <c r="G2" s="78"/>
      <c r="H2" s="71"/>
      <c r="I2" s="71"/>
      <c r="J2" s="46"/>
    </row>
    <row r="3" spans="1:11" ht="24" customHeight="1">
      <c r="A3" s="116"/>
      <c r="B3" s="117"/>
      <c r="C3" s="119" t="s">
        <v>3</v>
      </c>
      <c r="D3" s="119"/>
      <c r="E3" s="119"/>
      <c r="F3" s="25">
        <v>1</v>
      </c>
      <c r="H3" s="66"/>
      <c r="I3" s="86"/>
      <c r="J3" s="46" t="s">
        <v>4</v>
      </c>
    </row>
    <row r="4" spans="1:11" ht="20.25" customHeight="1">
      <c r="A4" s="112" t="s">
        <v>5</v>
      </c>
      <c r="B4" s="113"/>
      <c r="C4" s="113"/>
      <c r="D4" s="113"/>
      <c r="E4" s="113"/>
      <c r="F4" s="113"/>
      <c r="G4" s="113"/>
      <c r="H4" s="113"/>
      <c r="I4" s="91"/>
      <c r="J4" s="79">
        <v>10070845</v>
      </c>
      <c r="K4" s="79"/>
    </row>
    <row r="5" spans="1:11" ht="15.75">
      <c r="A5" s="92" t="s">
        <v>6</v>
      </c>
      <c r="B5" s="92" t="s">
        <v>7</v>
      </c>
      <c r="C5" s="92" t="s">
        <v>8</v>
      </c>
      <c r="D5" s="92" t="s">
        <v>9</v>
      </c>
      <c r="E5" s="93" t="s">
        <v>10</v>
      </c>
      <c r="F5" s="92" t="s">
        <v>11</v>
      </c>
      <c r="G5" s="92" t="s">
        <v>12</v>
      </c>
      <c r="H5" s="94" t="s">
        <v>13</v>
      </c>
      <c r="I5" s="94" t="s">
        <v>14</v>
      </c>
      <c r="J5" s="90"/>
      <c r="K5" s="79"/>
    </row>
    <row r="6" spans="1:11" ht="15.75">
      <c r="A6" s="17" t="s">
        <v>15</v>
      </c>
      <c r="B6" s="44" t="s">
        <v>16</v>
      </c>
      <c r="C6" s="15">
        <v>474</v>
      </c>
      <c r="D6" s="15">
        <v>409</v>
      </c>
      <c r="E6" s="15">
        <v>1</v>
      </c>
      <c r="F6" s="15">
        <v>2</v>
      </c>
      <c r="G6" s="32">
        <v>2</v>
      </c>
      <c r="H6" s="45">
        <f>(F6*(C6+50)+G6*(D6+50))</f>
        <v>1966</v>
      </c>
      <c r="I6" s="2"/>
      <c r="J6" s="90"/>
    </row>
    <row r="7" spans="1:11" ht="15.75">
      <c r="A7" s="17" t="s">
        <v>17</v>
      </c>
      <c r="B7" s="65" t="s">
        <v>18</v>
      </c>
      <c r="C7" s="15">
        <v>555</v>
      </c>
      <c r="D7" s="15">
        <v>409</v>
      </c>
      <c r="E7" s="15">
        <v>1</v>
      </c>
      <c r="F7" s="15">
        <v>2</v>
      </c>
      <c r="G7" s="32">
        <v>1</v>
      </c>
      <c r="H7" s="45">
        <f t="shared" ref="H7:H9" si="0">(F7*(C7+50)+G7*(D7+50))</f>
        <v>1669</v>
      </c>
      <c r="I7" s="1"/>
      <c r="J7" s="90"/>
    </row>
    <row r="8" spans="1:11" ht="15.75">
      <c r="A8" s="17" t="s">
        <v>19</v>
      </c>
      <c r="B8" s="65" t="s">
        <v>20</v>
      </c>
      <c r="C8" s="15">
        <v>555</v>
      </c>
      <c r="D8" s="15">
        <v>409</v>
      </c>
      <c r="E8" s="15">
        <v>1</v>
      </c>
      <c r="F8" s="15">
        <v>2</v>
      </c>
      <c r="G8" s="32">
        <v>1</v>
      </c>
      <c r="H8" s="45">
        <f t="shared" si="0"/>
        <v>1669</v>
      </c>
      <c r="I8" s="1"/>
      <c r="J8" s="90"/>
    </row>
    <row r="9" spans="1:11" ht="15.75">
      <c r="A9" s="17" t="s">
        <v>21</v>
      </c>
      <c r="B9" s="65" t="s">
        <v>22</v>
      </c>
      <c r="C9" s="15">
        <v>473</v>
      </c>
      <c r="D9" s="15">
        <v>60</v>
      </c>
      <c r="E9" s="15">
        <v>1</v>
      </c>
      <c r="F9" s="15">
        <v>2</v>
      </c>
      <c r="G9" s="32">
        <v>2</v>
      </c>
      <c r="H9" s="45">
        <f t="shared" si="0"/>
        <v>1266</v>
      </c>
      <c r="I9" s="1"/>
      <c r="J9" s="90"/>
    </row>
    <row r="10" spans="1:11" ht="15.75">
      <c r="A10" s="26" t="s">
        <v>23</v>
      </c>
      <c r="B10" s="65" t="s">
        <v>24</v>
      </c>
      <c r="C10" s="27">
        <v>444</v>
      </c>
      <c r="D10" s="27">
        <v>120</v>
      </c>
      <c r="E10" s="27">
        <v>1</v>
      </c>
      <c r="F10" s="15">
        <v>2</v>
      </c>
      <c r="G10" s="32">
        <v>0</v>
      </c>
      <c r="H10" s="45">
        <f t="shared" ref="H10:H15" si="1">(F10*(C10+50)+G10*(D10+50))</f>
        <v>988</v>
      </c>
      <c r="I10" s="1"/>
      <c r="J10" s="90"/>
    </row>
    <row r="11" spans="1:11">
      <c r="A11" s="28" t="s">
        <v>25</v>
      </c>
      <c r="B11" s="65" t="s">
        <v>26</v>
      </c>
      <c r="C11" s="29">
        <v>444</v>
      </c>
      <c r="D11" s="29">
        <v>409</v>
      </c>
      <c r="E11" s="15">
        <v>1</v>
      </c>
      <c r="F11" s="15">
        <v>2</v>
      </c>
      <c r="G11" s="32">
        <v>0</v>
      </c>
      <c r="H11" s="45">
        <f t="shared" si="1"/>
        <v>988</v>
      </c>
      <c r="I11" s="1"/>
      <c r="J11" s="88"/>
    </row>
    <row r="12" spans="1:11">
      <c r="A12" s="96" t="s">
        <v>27</v>
      </c>
      <c r="B12" s="97" t="s">
        <v>28</v>
      </c>
      <c r="C12" s="98">
        <v>350</v>
      </c>
      <c r="D12" s="98">
        <v>115</v>
      </c>
      <c r="E12" s="99">
        <v>1</v>
      </c>
      <c r="F12" s="99">
        <v>2</v>
      </c>
      <c r="G12" s="100">
        <v>1</v>
      </c>
      <c r="H12" s="101">
        <f t="shared" si="1"/>
        <v>965</v>
      </c>
      <c r="I12" s="89" t="s">
        <v>29</v>
      </c>
      <c r="J12" s="1"/>
    </row>
    <row r="13" spans="1:11">
      <c r="A13" s="96" t="s">
        <v>30</v>
      </c>
      <c r="B13" s="97" t="s">
        <v>31</v>
      </c>
      <c r="C13" s="98">
        <v>350</v>
      </c>
      <c r="D13" s="98">
        <v>115</v>
      </c>
      <c r="E13" s="99">
        <v>1</v>
      </c>
      <c r="F13" s="99">
        <v>2</v>
      </c>
      <c r="G13" s="100">
        <v>1</v>
      </c>
      <c r="H13" s="101">
        <f t="shared" si="1"/>
        <v>965</v>
      </c>
      <c r="I13" s="89" t="s">
        <v>32</v>
      </c>
      <c r="J13" s="1"/>
    </row>
    <row r="14" spans="1:11">
      <c r="A14" s="30" t="s">
        <v>33</v>
      </c>
      <c r="B14" s="65" t="s">
        <v>34</v>
      </c>
      <c r="C14" s="31">
        <v>387</v>
      </c>
      <c r="D14" s="31">
        <v>93</v>
      </c>
      <c r="E14" s="27">
        <v>1</v>
      </c>
      <c r="F14" s="27">
        <v>1</v>
      </c>
      <c r="G14" s="38">
        <v>0</v>
      </c>
      <c r="H14" s="21">
        <f t="shared" si="1"/>
        <v>437</v>
      </c>
      <c r="I14" s="45"/>
      <c r="J14" s="1"/>
    </row>
    <row r="15" spans="1:11">
      <c r="A15" s="28" t="s">
        <v>35</v>
      </c>
      <c r="B15" s="65" t="s">
        <v>36</v>
      </c>
      <c r="C15" s="29">
        <v>444</v>
      </c>
      <c r="D15" s="29">
        <v>60</v>
      </c>
      <c r="E15" s="15">
        <v>1</v>
      </c>
      <c r="F15" s="15">
        <v>1</v>
      </c>
      <c r="G15" s="15">
        <v>0</v>
      </c>
      <c r="H15" s="15">
        <f t="shared" si="1"/>
        <v>494</v>
      </c>
      <c r="I15" s="52"/>
      <c r="J15" s="52"/>
    </row>
    <row r="16" spans="1:11">
      <c r="A16" s="47" t="s">
        <v>37</v>
      </c>
      <c r="B16" s="48"/>
      <c r="C16" s="48"/>
      <c r="D16" s="48"/>
      <c r="E16" s="48"/>
      <c r="F16" s="49"/>
      <c r="G16" s="50"/>
      <c r="H16" s="51">
        <f>SUM(H6:H15)/1000</f>
        <v>11.407</v>
      </c>
      <c r="I16" s="87"/>
      <c r="J16" s="52">
        <f>H16*F3</f>
        <v>11.407</v>
      </c>
    </row>
    <row r="17" spans="1:10">
      <c r="A17" s="34"/>
      <c r="B17" s="35"/>
      <c r="C17" s="36"/>
      <c r="D17" s="36"/>
      <c r="E17" s="37"/>
      <c r="F17" s="37"/>
      <c r="G17" s="37"/>
      <c r="H17" s="37"/>
      <c r="I17" s="60"/>
    </row>
    <row r="18" spans="1:10" ht="15.75" customHeight="1">
      <c r="A18" s="111" t="s">
        <v>38</v>
      </c>
      <c r="B18" s="111"/>
      <c r="C18" s="111"/>
      <c r="D18" s="111"/>
      <c r="E18" s="111"/>
      <c r="F18" s="111"/>
      <c r="G18" s="111"/>
      <c r="H18" s="112"/>
      <c r="I18" s="103"/>
    </row>
    <row r="19" spans="1:10">
      <c r="A19" s="95" t="s">
        <v>6</v>
      </c>
      <c r="B19" s="95" t="s">
        <v>7</v>
      </c>
      <c r="C19" s="95" t="s">
        <v>8</v>
      </c>
      <c r="D19" s="95" t="s">
        <v>9</v>
      </c>
      <c r="E19" s="95" t="s">
        <v>10</v>
      </c>
      <c r="F19" s="95" t="s">
        <v>11</v>
      </c>
      <c r="G19" s="95" t="s">
        <v>12</v>
      </c>
      <c r="H19" s="106" t="s">
        <v>13</v>
      </c>
      <c r="I19" s="104"/>
      <c r="J19" s="33"/>
    </row>
    <row r="20" spans="1:10">
      <c r="A20" s="28" t="s">
        <v>39</v>
      </c>
      <c r="B20" s="65" t="s">
        <v>40</v>
      </c>
      <c r="C20" s="29">
        <v>234</v>
      </c>
      <c r="D20" s="29">
        <v>312</v>
      </c>
      <c r="E20" s="15">
        <v>1</v>
      </c>
      <c r="F20" s="15">
        <v>2</v>
      </c>
      <c r="G20" s="15">
        <v>2</v>
      </c>
      <c r="H20" s="32">
        <f t="shared" ref="H20:H22" si="2">(F20*(C20+50)+G20*(D20+50))</f>
        <v>1292</v>
      </c>
      <c r="I20" s="1"/>
      <c r="J20" s="33"/>
    </row>
    <row r="21" spans="1:10">
      <c r="A21" s="28" t="s">
        <v>41</v>
      </c>
      <c r="B21" s="65" t="s">
        <v>42</v>
      </c>
      <c r="C21" s="29">
        <v>234</v>
      </c>
      <c r="D21" s="29">
        <v>312</v>
      </c>
      <c r="E21" s="15">
        <v>1</v>
      </c>
      <c r="F21" s="15">
        <v>2</v>
      </c>
      <c r="G21" s="15">
        <v>2</v>
      </c>
      <c r="H21" s="32">
        <f t="shared" si="2"/>
        <v>1292</v>
      </c>
      <c r="I21" s="1"/>
      <c r="J21" s="33"/>
    </row>
    <row r="22" spans="1:10">
      <c r="A22" s="28" t="s">
        <v>43</v>
      </c>
      <c r="B22" s="70" t="s">
        <v>44</v>
      </c>
      <c r="C22" s="29">
        <v>471</v>
      </c>
      <c r="D22" s="29">
        <v>170</v>
      </c>
      <c r="E22" s="15">
        <v>1</v>
      </c>
      <c r="F22" s="15">
        <v>2</v>
      </c>
      <c r="G22" s="15">
        <v>2</v>
      </c>
      <c r="H22" s="32">
        <f t="shared" si="2"/>
        <v>1482</v>
      </c>
      <c r="I22" s="1"/>
      <c r="J22" s="39" t="s">
        <v>45</v>
      </c>
    </row>
    <row r="23" spans="1:10">
      <c r="A23" s="57" t="s">
        <v>37</v>
      </c>
      <c r="B23" s="58"/>
      <c r="C23" s="58"/>
      <c r="D23" s="58"/>
      <c r="E23" s="58"/>
      <c r="F23" s="58"/>
      <c r="G23" s="58"/>
      <c r="H23" s="107">
        <f>SUM(H20:H22)/1000</f>
        <v>4.0659999999999998</v>
      </c>
      <c r="I23" s="105"/>
      <c r="J23" s="56">
        <f>H23*F3</f>
        <v>4.0659999999999998</v>
      </c>
    </row>
    <row r="25" spans="1:10" ht="15.75">
      <c r="B25" s="120" t="s">
        <v>46</v>
      </c>
      <c r="C25" s="108"/>
      <c r="D25" s="108"/>
      <c r="E25" s="108"/>
      <c r="F25" s="109"/>
    </row>
    <row r="26" spans="1:10">
      <c r="B26" s="92" t="s">
        <v>6</v>
      </c>
      <c r="C26" s="92" t="s">
        <v>7</v>
      </c>
      <c r="D26" s="92" t="s">
        <v>8</v>
      </c>
      <c r="E26" s="92" t="s">
        <v>9</v>
      </c>
      <c r="F26" s="92" t="s">
        <v>10</v>
      </c>
    </row>
    <row r="27" spans="1:10">
      <c r="B27" s="20" t="s">
        <v>47</v>
      </c>
      <c r="C27" s="15" t="s">
        <v>48</v>
      </c>
      <c r="D27" s="15">
        <v>401</v>
      </c>
      <c r="E27" s="15">
        <v>357</v>
      </c>
      <c r="F27" s="15">
        <v>1</v>
      </c>
    </row>
    <row r="29" spans="1:10" ht="15.75">
      <c r="A29" s="108" t="s">
        <v>49</v>
      </c>
      <c r="B29" s="109"/>
      <c r="D29" s="110" t="s">
        <v>50</v>
      </c>
      <c r="E29" s="110"/>
      <c r="F29" s="110"/>
    </row>
    <row r="30" spans="1:10">
      <c r="A30" s="102" t="s">
        <v>51</v>
      </c>
      <c r="B30" s="92" t="s">
        <v>6</v>
      </c>
      <c r="D30" s="110"/>
      <c r="E30" s="110"/>
      <c r="F30" s="110"/>
    </row>
    <row r="31" spans="1:10" ht="15.75" customHeight="1">
      <c r="A31" s="67">
        <v>1</v>
      </c>
      <c r="B31" s="18" t="s">
        <v>17</v>
      </c>
      <c r="D31" s="69"/>
    </row>
    <row r="32" spans="1:10">
      <c r="A32" s="67">
        <v>2</v>
      </c>
      <c r="B32" s="18" t="s">
        <v>19</v>
      </c>
    </row>
    <row r="33" spans="1:2">
      <c r="A33" s="67">
        <v>3</v>
      </c>
      <c r="B33" s="18" t="s">
        <v>52</v>
      </c>
    </row>
    <row r="34" spans="1:2">
      <c r="A34" s="68">
        <v>4</v>
      </c>
      <c r="B34" s="18" t="s">
        <v>53</v>
      </c>
    </row>
    <row r="35" spans="1:2" ht="15.75" customHeight="1">
      <c r="A35" s="67">
        <v>5</v>
      </c>
      <c r="B35" s="18" t="s">
        <v>54</v>
      </c>
    </row>
    <row r="36" spans="1:2">
      <c r="A36" s="67">
        <v>6</v>
      </c>
      <c r="B36" s="18" t="s">
        <v>55</v>
      </c>
    </row>
    <row r="37" spans="1:2">
      <c r="A37" s="17">
        <v>7</v>
      </c>
      <c r="B37" s="18" t="s">
        <v>47</v>
      </c>
    </row>
  </sheetData>
  <mergeCells count="9">
    <mergeCell ref="A29:B29"/>
    <mergeCell ref="D29:F30"/>
    <mergeCell ref="A18:H18"/>
    <mergeCell ref="A4:H4"/>
    <mergeCell ref="A1:B3"/>
    <mergeCell ref="C1:H1"/>
    <mergeCell ref="C2:E2"/>
    <mergeCell ref="C3:E3"/>
    <mergeCell ref="B25:F25"/>
  </mergeCells>
  <pageMargins left="0.23622047244094491" right="0.23622047244094491" top="0.74803149606299213" bottom="0.74803149606299213" header="0.31496062992125984" footer="0.31496062992125984"/>
  <pageSetup scale="78" fitToHeight="0" orientation="landscape" r:id="rId1"/>
  <rowBreaks count="1" manualBreakCount="1">
    <brk id="39" max="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B4964-F34A-4F45-A2DA-814037D59259}">
  <dimension ref="A1:R42"/>
  <sheetViews>
    <sheetView showGridLines="0" topLeftCell="D1" zoomScaleNormal="100" workbookViewId="0">
      <selection activeCell="D16" sqref="D16"/>
    </sheetView>
  </sheetViews>
  <sheetFormatPr defaultColWidth="11.42578125" defaultRowHeight="15"/>
  <cols>
    <col min="1" max="1" width="14" customWidth="1"/>
    <col min="2" max="2" width="15.42578125" customWidth="1"/>
    <col min="3" max="3" width="17.42578125" bestFit="1" customWidth="1"/>
    <col min="4" max="4" width="13" bestFit="1" customWidth="1"/>
  </cols>
  <sheetData>
    <row r="1" spans="1:15">
      <c r="A1" s="125" t="s">
        <v>56</v>
      </c>
      <c r="B1" s="126"/>
      <c r="C1" s="121" t="s">
        <v>57</v>
      </c>
      <c r="D1" s="122"/>
      <c r="E1" s="6"/>
      <c r="F1" s="6"/>
      <c r="G1" s="6"/>
      <c r="H1" s="6"/>
      <c r="I1" s="6"/>
      <c r="J1" s="6"/>
      <c r="K1" s="6"/>
      <c r="L1" s="6"/>
      <c r="M1" s="6"/>
      <c r="N1" s="6"/>
      <c r="O1" s="7"/>
    </row>
    <row r="2" spans="1:15">
      <c r="A2" s="123" t="s">
        <v>58</v>
      </c>
      <c r="B2" s="124"/>
      <c r="C2" s="123" t="s">
        <v>58</v>
      </c>
      <c r="D2" s="124"/>
      <c r="O2" s="8"/>
    </row>
    <row r="3" spans="1:15" ht="15.75" thickBot="1">
      <c r="A3" s="16" t="s">
        <v>59</v>
      </c>
      <c r="B3" s="19">
        <v>3</v>
      </c>
      <c r="C3" s="19" t="s">
        <v>60</v>
      </c>
      <c r="D3" s="19" t="s">
        <v>61</v>
      </c>
      <c r="O3" s="8"/>
    </row>
    <row r="4" spans="1:15" ht="15.75" thickBot="1">
      <c r="A4" s="13" t="s">
        <v>62</v>
      </c>
      <c r="B4" s="19">
        <v>1</v>
      </c>
      <c r="C4" s="53">
        <f>((1.83*2.44)*B4)/B3</f>
        <v>1.4884000000000002</v>
      </c>
      <c r="D4" s="53">
        <f>((1.53*2.44)*B6)/B5</f>
        <v>1.4932799999999999</v>
      </c>
      <c r="O4" s="8"/>
    </row>
    <row r="5" spans="1:15" ht="15.75" thickBot="1">
      <c r="A5" s="54" t="s">
        <v>63</v>
      </c>
      <c r="B5" s="19">
        <v>5</v>
      </c>
      <c r="O5" s="8"/>
    </row>
    <row r="6" spans="1:15" ht="15.75" thickBot="1">
      <c r="A6" s="55" t="s">
        <v>64</v>
      </c>
      <c r="B6" s="19">
        <v>2</v>
      </c>
      <c r="O6" s="8"/>
    </row>
    <row r="7" spans="1:15">
      <c r="A7" s="9"/>
      <c r="O7" s="8"/>
    </row>
    <row r="8" spans="1:15">
      <c r="A8" s="9"/>
      <c r="O8" s="8"/>
    </row>
    <row r="9" spans="1:15">
      <c r="A9" s="9"/>
      <c r="O9" s="8"/>
    </row>
    <row r="10" spans="1:15">
      <c r="A10" s="9"/>
      <c r="O10" s="8"/>
    </row>
    <row r="11" spans="1:15">
      <c r="A11" s="9"/>
      <c r="O11" s="8"/>
    </row>
    <row r="12" spans="1:15">
      <c r="A12" s="9"/>
      <c r="O12" s="8"/>
    </row>
    <row r="13" spans="1:15">
      <c r="A13" s="9"/>
      <c r="O13" s="8"/>
    </row>
    <row r="14" spans="1:15">
      <c r="A14" s="9"/>
      <c r="O14" s="8"/>
    </row>
    <row r="15" spans="1:15">
      <c r="A15" s="9"/>
      <c r="O15" s="8"/>
    </row>
    <row r="16" spans="1:15">
      <c r="A16" s="9"/>
      <c r="O16" s="8"/>
    </row>
    <row r="17" spans="1:18">
      <c r="A17" s="9"/>
      <c r="O17" s="8"/>
    </row>
    <row r="18" spans="1:18">
      <c r="A18" s="9"/>
      <c r="O18" s="8"/>
    </row>
    <row r="19" spans="1:18">
      <c r="A19" s="9"/>
      <c r="O19" s="8"/>
    </row>
    <row r="20" spans="1:18">
      <c r="A20" s="9"/>
      <c r="O20" s="8"/>
    </row>
    <row r="21" spans="1:18" ht="15.75" thickBot="1">
      <c r="A21" s="10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2"/>
    </row>
    <row r="22" spans="1:18" ht="15.75" thickBot="1"/>
    <row r="23" spans="1:18">
      <c r="A23" s="125" t="s">
        <v>65</v>
      </c>
      <c r="B23" s="126"/>
      <c r="C23" s="62" t="s">
        <v>57</v>
      </c>
      <c r="D23" s="64"/>
      <c r="E23" s="6"/>
      <c r="F23" s="6"/>
      <c r="G23" s="6"/>
      <c r="H23" s="6"/>
      <c r="I23" s="6"/>
      <c r="J23" s="6"/>
      <c r="K23" s="6"/>
      <c r="L23" s="6"/>
      <c r="M23" s="6"/>
      <c r="N23" s="6"/>
      <c r="O23" s="7"/>
    </row>
    <row r="24" spans="1:18">
      <c r="A24" s="123" t="s">
        <v>66</v>
      </c>
      <c r="B24" s="124"/>
      <c r="C24" s="63" t="s">
        <v>58</v>
      </c>
      <c r="D24" s="59"/>
      <c r="O24" s="8"/>
    </row>
    <row r="25" spans="1:18" ht="15.75" thickBot="1">
      <c r="A25" s="16" t="s">
        <v>67</v>
      </c>
      <c r="B25" s="19">
        <v>25</v>
      </c>
      <c r="C25" s="19" t="s">
        <v>60</v>
      </c>
      <c r="D25" s="60"/>
      <c r="O25" s="8"/>
      <c r="R25" t="s">
        <v>68</v>
      </c>
    </row>
    <row r="26" spans="1:18" ht="15.75" thickBot="1">
      <c r="A26" s="13" t="s">
        <v>69</v>
      </c>
      <c r="B26" s="19">
        <v>1</v>
      </c>
      <c r="C26" s="53">
        <f>((1.83*2.44)*B26)/B25</f>
        <v>0.17860800000000002</v>
      </c>
      <c r="D26" s="61"/>
      <c r="O26" s="8"/>
    </row>
    <row r="27" spans="1:18">
      <c r="A27" s="9"/>
      <c r="O27" s="8"/>
    </row>
    <row r="28" spans="1:18">
      <c r="A28" s="9"/>
      <c r="O28" s="8"/>
    </row>
    <row r="29" spans="1:18">
      <c r="A29" s="9"/>
      <c r="O29" s="8"/>
    </row>
    <row r="30" spans="1:18">
      <c r="A30" s="9"/>
      <c r="O30" s="8"/>
    </row>
    <row r="31" spans="1:18">
      <c r="A31" s="9"/>
      <c r="O31" s="8"/>
    </row>
    <row r="32" spans="1:18">
      <c r="A32" s="9"/>
      <c r="O32" s="8"/>
    </row>
    <row r="33" spans="1:15">
      <c r="A33" s="9"/>
      <c r="O33" s="8"/>
    </row>
    <row r="34" spans="1:15">
      <c r="A34" s="9"/>
      <c r="O34" s="8"/>
    </row>
    <row r="35" spans="1:15">
      <c r="A35" s="9"/>
      <c r="O35" s="8"/>
    </row>
    <row r="36" spans="1:15">
      <c r="A36" s="9"/>
      <c r="O36" s="8"/>
    </row>
    <row r="37" spans="1:15">
      <c r="A37" s="9"/>
      <c r="O37" s="8"/>
    </row>
    <row r="38" spans="1:15">
      <c r="A38" s="9"/>
      <c r="O38" s="8"/>
    </row>
    <row r="39" spans="1:15">
      <c r="A39" s="9"/>
      <c r="O39" s="8"/>
    </row>
    <row r="40" spans="1:15">
      <c r="A40" s="9"/>
      <c r="O40" s="8"/>
    </row>
    <row r="41" spans="1:15">
      <c r="A41" s="9"/>
      <c r="O41" s="8"/>
    </row>
    <row r="42" spans="1:15" ht="15.75" thickBot="1">
      <c r="A42" s="10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2"/>
    </row>
  </sheetData>
  <mergeCells count="6">
    <mergeCell ref="C1:D1"/>
    <mergeCell ref="C2:D2"/>
    <mergeCell ref="A1:B1"/>
    <mergeCell ref="A23:B23"/>
    <mergeCell ref="A24:B24"/>
    <mergeCell ref="A2:B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4DA0F-3F13-47B9-BF6D-BC9CEDAE787D}">
  <sheetPr filterMode="1"/>
  <dimension ref="A2:D29"/>
  <sheetViews>
    <sheetView workbookViewId="0">
      <selection activeCell="B14" sqref="B14"/>
    </sheetView>
  </sheetViews>
  <sheetFormatPr defaultColWidth="11.42578125" defaultRowHeight="15"/>
  <cols>
    <col min="1" max="1" width="29.7109375" bestFit="1" customWidth="1"/>
    <col min="2" max="2" width="74.85546875" bestFit="1" customWidth="1"/>
    <col min="4" max="4" width="13.7109375" hidden="1" customWidth="1"/>
  </cols>
  <sheetData>
    <row r="2" spans="1:4" ht="26.25">
      <c r="B2" s="24" t="s">
        <v>70</v>
      </c>
    </row>
    <row r="4" spans="1:4">
      <c r="A4" s="127" t="s">
        <v>71</v>
      </c>
      <c r="B4" s="127"/>
      <c r="C4" s="127"/>
      <c r="D4" s="127"/>
    </row>
    <row r="5" spans="1:4">
      <c r="A5" s="14" t="s">
        <v>72</v>
      </c>
      <c r="B5" s="14" t="s">
        <v>73</v>
      </c>
      <c r="C5" s="14" t="s">
        <v>74</v>
      </c>
      <c r="D5" s="14" t="s">
        <v>75</v>
      </c>
    </row>
    <row r="6" spans="1:4" ht="18.75">
      <c r="A6" s="40" t="s">
        <v>76</v>
      </c>
      <c r="B6" s="41" t="s">
        <v>77</v>
      </c>
      <c r="C6" s="22">
        <v>1</v>
      </c>
      <c r="D6" s="1"/>
    </row>
    <row r="7" spans="1:4" ht="18.75">
      <c r="A7" s="40" t="s">
        <v>78</v>
      </c>
      <c r="B7" s="41" t="s">
        <v>79</v>
      </c>
      <c r="C7" s="22">
        <v>2</v>
      </c>
      <c r="D7" s="1"/>
    </row>
    <row r="8" spans="1:4" ht="18.75">
      <c r="A8" s="40" t="s">
        <v>80</v>
      </c>
      <c r="B8" s="41" t="s">
        <v>81</v>
      </c>
      <c r="C8" s="22">
        <v>24</v>
      </c>
      <c r="D8" s="1"/>
    </row>
    <row r="9" spans="1:4" ht="18.75">
      <c r="A9" s="40" t="s">
        <v>82</v>
      </c>
      <c r="B9" s="41" t="s">
        <v>83</v>
      </c>
      <c r="C9" s="22">
        <v>1</v>
      </c>
      <c r="D9" s="1"/>
    </row>
    <row r="10" spans="1:4" ht="15.75" hidden="1">
      <c r="A10" s="40" t="s">
        <v>84</v>
      </c>
      <c r="B10" s="41" t="s">
        <v>85</v>
      </c>
      <c r="C10" s="1">
        <v>0</v>
      </c>
      <c r="D10" s="1"/>
    </row>
    <row r="11" spans="1:4" ht="18.75">
      <c r="A11" s="40" t="s">
        <v>86</v>
      </c>
      <c r="B11" s="41" t="s">
        <v>87</v>
      </c>
      <c r="C11" s="22">
        <v>14</v>
      </c>
      <c r="D11" s="1"/>
    </row>
    <row r="12" spans="1:4" ht="15.75" hidden="1">
      <c r="A12" s="40" t="s">
        <v>88</v>
      </c>
      <c r="B12" s="41" t="s">
        <v>89</v>
      </c>
      <c r="C12" s="1">
        <v>0</v>
      </c>
      <c r="D12" s="1"/>
    </row>
    <row r="13" spans="1:4" ht="15.75" hidden="1">
      <c r="A13" s="81" t="s">
        <v>90</v>
      </c>
      <c r="B13" s="85" t="s">
        <v>91</v>
      </c>
      <c r="C13" s="1">
        <v>0</v>
      </c>
      <c r="D13" s="1"/>
    </row>
    <row r="14" spans="1:4" ht="18.75">
      <c r="A14" s="83" t="s">
        <v>92</v>
      </c>
      <c r="B14" s="82" t="s">
        <v>93</v>
      </c>
      <c r="C14" s="84">
        <v>2</v>
      </c>
      <c r="D14" s="4"/>
    </row>
    <row r="15" spans="1:4" ht="15.75" hidden="1">
      <c r="A15" s="42" t="s">
        <v>94</v>
      </c>
      <c r="B15" s="43" t="s">
        <v>95</v>
      </c>
      <c r="C15" s="4">
        <v>0</v>
      </c>
      <c r="D15" s="4"/>
    </row>
    <row r="16" spans="1:4" ht="15.75" hidden="1">
      <c r="A16" s="42" t="s">
        <v>96</v>
      </c>
      <c r="B16" s="43" t="s">
        <v>97</v>
      </c>
      <c r="C16" s="4">
        <v>0</v>
      </c>
      <c r="D16" s="4"/>
    </row>
    <row r="17" spans="1:4" ht="15.75" hidden="1">
      <c r="A17" s="42" t="s">
        <v>98</v>
      </c>
      <c r="B17" s="43" t="s">
        <v>99</v>
      </c>
      <c r="C17" s="4">
        <v>0</v>
      </c>
      <c r="D17" s="4"/>
    </row>
    <row r="18" spans="1:4" ht="18.75">
      <c r="A18" s="42" t="s">
        <v>100</v>
      </c>
      <c r="B18" s="43" t="s">
        <v>101</v>
      </c>
      <c r="C18" s="23">
        <v>1</v>
      </c>
      <c r="D18" s="4"/>
    </row>
    <row r="19" spans="1:4" ht="15.75" hidden="1">
      <c r="A19" s="42" t="s">
        <v>102</v>
      </c>
      <c r="B19" s="43" t="s">
        <v>103</v>
      </c>
      <c r="C19" s="4">
        <v>0</v>
      </c>
      <c r="D19" s="4"/>
    </row>
    <row r="20" spans="1:4" ht="15.75" hidden="1">
      <c r="A20" s="43" t="s">
        <v>104</v>
      </c>
      <c r="B20" s="43" t="s">
        <v>105</v>
      </c>
      <c r="C20" s="4">
        <v>0</v>
      </c>
      <c r="D20" s="3"/>
    </row>
    <row r="21" spans="1:4" ht="15.75" hidden="1">
      <c r="A21" s="42" t="s">
        <v>106</v>
      </c>
      <c r="B21" s="43" t="s">
        <v>107</v>
      </c>
      <c r="C21" s="4">
        <v>0</v>
      </c>
      <c r="D21" s="4"/>
    </row>
    <row r="22" spans="1:4" ht="18.75">
      <c r="A22" s="42" t="s">
        <v>108</v>
      </c>
      <c r="B22" s="43" t="s">
        <v>109</v>
      </c>
      <c r="C22" s="23">
        <v>14</v>
      </c>
      <c r="D22" s="4"/>
    </row>
    <row r="23" spans="1:4" ht="18.75">
      <c r="A23" s="42" t="s">
        <v>110</v>
      </c>
      <c r="B23" s="43" t="s">
        <v>111</v>
      </c>
      <c r="C23" s="23">
        <v>6</v>
      </c>
      <c r="D23" s="4"/>
    </row>
    <row r="24" spans="1:4" ht="18.75">
      <c r="A24" s="42" t="s">
        <v>112</v>
      </c>
      <c r="B24" s="43" t="s">
        <v>113</v>
      </c>
      <c r="C24" s="23">
        <v>2</v>
      </c>
      <c r="D24" s="4"/>
    </row>
    <row r="25" spans="1:4" ht="18.75">
      <c r="A25" s="42" t="s">
        <v>114</v>
      </c>
      <c r="B25" s="43" t="s">
        <v>115</v>
      </c>
      <c r="C25" s="23">
        <v>2</v>
      </c>
      <c r="D25" s="4"/>
    </row>
    <row r="26" spans="1:4" ht="15.75" hidden="1">
      <c r="A26" s="40" t="s">
        <v>116</v>
      </c>
      <c r="B26" s="41" t="s">
        <v>117</v>
      </c>
      <c r="C26" s="1">
        <v>0</v>
      </c>
      <c r="D26" s="1"/>
    </row>
    <row r="27" spans="1:4" ht="18.75" hidden="1">
      <c r="A27" s="41" t="s">
        <v>118</v>
      </c>
      <c r="B27" s="41" t="s">
        <v>119</v>
      </c>
      <c r="C27" s="22">
        <v>0</v>
      </c>
      <c r="D27" s="2"/>
    </row>
    <row r="28" spans="1:4" ht="18.75" hidden="1">
      <c r="A28" s="41" t="s">
        <v>118</v>
      </c>
      <c r="B28" s="41" t="s">
        <v>120</v>
      </c>
      <c r="C28" s="22">
        <v>0</v>
      </c>
      <c r="D28" s="2"/>
    </row>
    <row r="29" spans="1:4" ht="18.75" hidden="1">
      <c r="A29" s="41" t="s">
        <v>118</v>
      </c>
      <c r="B29" s="41" t="s">
        <v>121</v>
      </c>
      <c r="C29" s="22">
        <v>0</v>
      </c>
      <c r="D29" s="2"/>
    </row>
  </sheetData>
  <autoFilter ref="A5:D29" xr:uid="{FE646F03-0537-4F8F-BB95-2DC55D7D69A4}">
    <filterColumn colId="2">
      <filters>
        <filter val="1"/>
        <filter val="14"/>
        <filter val="2"/>
        <filter val="24"/>
        <filter val="3"/>
        <filter val="6"/>
      </filters>
    </filterColumn>
  </autoFilter>
  <sortState xmlns:xlrd2="http://schemas.microsoft.com/office/spreadsheetml/2017/richdata2" ref="A6:D26">
    <sortCondition ref="B6"/>
  </sortState>
  <mergeCells count="1">
    <mergeCell ref="A4:D4"/>
  </mergeCells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2157A-DE19-4472-92DF-A1EBB8A0833E}">
  <dimension ref="A2:L16"/>
  <sheetViews>
    <sheetView workbookViewId="0">
      <selection activeCell="K15" sqref="K15"/>
    </sheetView>
  </sheetViews>
  <sheetFormatPr defaultRowHeight="15"/>
  <cols>
    <col min="1" max="1" width="37.5703125" bestFit="1" customWidth="1"/>
  </cols>
  <sheetData>
    <row r="2" spans="1:12">
      <c r="A2" s="72" t="s">
        <v>7</v>
      </c>
      <c r="B2" s="72" t="s">
        <v>8</v>
      </c>
      <c r="C2" s="72" t="s">
        <v>9</v>
      </c>
      <c r="D2" s="72" t="s">
        <v>122</v>
      </c>
    </row>
    <row r="3" spans="1:12">
      <c r="A3" s="73" t="s">
        <v>16</v>
      </c>
      <c r="B3" s="52">
        <v>474</v>
      </c>
      <c r="C3" s="52">
        <v>409</v>
      </c>
      <c r="D3" s="74">
        <f>(B3/1000)*(C3/1000)</f>
        <v>0.19386599999999998</v>
      </c>
    </row>
    <row r="4" spans="1:12">
      <c r="A4" s="65" t="s">
        <v>18</v>
      </c>
      <c r="B4" s="15">
        <v>555</v>
      </c>
      <c r="C4" s="15">
        <v>409</v>
      </c>
      <c r="D4" s="74">
        <f>(B4/1000)*(C4/1000)</f>
        <v>0.226995</v>
      </c>
    </row>
    <row r="5" spans="1:12">
      <c r="A5" s="65" t="s">
        <v>20</v>
      </c>
      <c r="B5" s="15">
        <v>555</v>
      </c>
      <c r="C5" s="15">
        <v>409</v>
      </c>
      <c r="D5" s="74">
        <f t="shared" ref="D5:D15" si="0">(B5/1000)*(C5/1000)</f>
        <v>0.226995</v>
      </c>
    </row>
    <row r="6" spans="1:12">
      <c r="A6" s="65" t="s">
        <v>22</v>
      </c>
      <c r="B6" s="15">
        <v>471</v>
      </c>
      <c r="C6" s="15">
        <v>60</v>
      </c>
      <c r="D6" s="74">
        <f t="shared" si="0"/>
        <v>2.8259999999999997E-2</v>
      </c>
    </row>
    <row r="7" spans="1:12" ht="17.25" customHeight="1">
      <c r="A7" s="65" t="s">
        <v>24</v>
      </c>
      <c r="B7" s="27">
        <v>444</v>
      </c>
      <c r="C7" s="27">
        <v>120</v>
      </c>
      <c r="D7" s="74">
        <f t="shared" si="0"/>
        <v>5.3280000000000001E-2</v>
      </c>
      <c r="H7" s="128" t="s">
        <v>46</v>
      </c>
      <c r="I7" s="129"/>
      <c r="J7" s="129"/>
      <c r="K7" s="130"/>
    </row>
    <row r="8" spans="1:12" ht="18" customHeight="1">
      <c r="A8" s="65" t="s">
        <v>26</v>
      </c>
      <c r="B8" s="29">
        <v>444</v>
      </c>
      <c r="C8" s="29">
        <v>409</v>
      </c>
      <c r="D8" s="74">
        <f t="shared" si="0"/>
        <v>0.18159599999999998</v>
      </c>
      <c r="H8" s="5" t="s">
        <v>7</v>
      </c>
      <c r="I8" s="5" t="s">
        <v>8</v>
      </c>
      <c r="J8" s="5" t="s">
        <v>9</v>
      </c>
      <c r="K8" s="5" t="s">
        <v>122</v>
      </c>
    </row>
    <row r="9" spans="1:12">
      <c r="A9" s="70" t="s">
        <v>28</v>
      </c>
      <c r="B9" s="29">
        <v>350</v>
      </c>
      <c r="C9" s="29">
        <v>115</v>
      </c>
      <c r="D9" s="74">
        <f t="shared" si="0"/>
        <v>4.0250000000000001E-2</v>
      </c>
      <c r="H9" s="15" t="s">
        <v>48</v>
      </c>
      <c r="I9" s="15">
        <v>401</v>
      </c>
      <c r="J9" s="15">
        <v>357</v>
      </c>
      <c r="K9" s="74">
        <f>(I9/1000)*(J9/1000)</f>
        <v>0.14315700000000001</v>
      </c>
    </row>
    <row r="10" spans="1:12" ht="18.75">
      <c r="A10" s="70" t="s">
        <v>31</v>
      </c>
      <c r="B10" s="29">
        <v>350</v>
      </c>
      <c r="C10" s="29">
        <v>115</v>
      </c>
      <c r="D10" s="74">
        <f t="shared" si="0"/>
        <v>4.0250000000000001E-2</v>
      </c>
      <c r="K10" s="77">
        <f>SUM(K9)</f>
        <v>0.14315700000000001</v>
      </c>
      <c r="L10" s="75">
        <f>K10*1.15</f>
        <v>0.16463054999999999</v>
      </c>
    </row>
    <row r="11" spans="1:12">
      <c r="A11" s="65" t="s">
        <v>34</v>
      </c>
      <c r="B11" s="31">
        <v>387</v>
      </c>
      <c r="C11" s="31">
        <v>93</v>
      </c>
      <c r="D11" s="74">
        <f t="shared" si="0"/>
        <v>3.5991000000000002E-2</v>
      </c>
    </row>
    <row r="12" spans="1:12">
      <c r="A12" s="65" t="s">
        <v>36</v>
      </c>
      <c r="B12" s="29">
        <v>444</v>
      </c>
      <c r="C12" s="29">
        <v>60</v>
      </c>
      <c r="D12" s="74">
        <f t="shared" si="0"/>
        <v>2.664E-2</v>
      </c>
    </row>
    <row r="13" spans="1:12">
      <c r="A13" s="65" t="s">
        <v>40</v>
      </c>
      <c r="B13" s="29">
        <v>234</v>
      </c>
      <c r="C13" s="29">
        <v>312</v>
      </c>
      <c r="D13" s="74">
        <f t="shared" si="0"/>
        <v>7.3008000000000003E-2</v>
      </c>
    </row>
    <row r="14" spans="1:12">
      <c r="A14" s="65" t="s">
        <v>42</v>
      </c>
      <c r="B14" s="29">
        <v>234</v>
      </c>
      <c r="C14" s="29">
        <v>312</v>
      </c>
      <c r="D14" s="74">
        <f t="shared" si="0"/>
        <v>7.3008000000000003E-2</v>
      </c>
    </row>
    <row r="15" spans="1:12">
      <c r="A15" s="70" t="s">
        <v>44</v>
      </c>
      <c r="B15" s="29">
        <v>471</v>
      </c>
      <c r="C15" s="29">
        <v>170</v>
      </c>
      <c r="D15" s="74">
        <f t="shared" si="0"/>
        <v>8.0070000000000002E-2</v>
      </c>
    </row>
    <row r="16" spans="1:12" ht="18.75">
      <c r="D16" s="76">
        <f>SUM(D3:D15)</f>
        <v>1.2802089999999999</v>
      </c>
      <c r="E16" s="75">
        <f>D16*1.15</f>
        <v>1.4722403499999999</v>
      </c>
    </row>
  </sheetData>
  <mergeCells count="1">
    <mergeCell ref="H7:K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1938c79-e635-416e-962b-e79243d7923e">
      <Terms xmlns="http://schemas.microsoft.com/office/infopath/2007/PartnerControls"/>
    </lcf76f155ced4ddcb4097134ff3c332f>
    <TaxCatchAll xmlns="87e42f4f-c32b-4996-b919-65aff2aac959" xsi:nil="true"/>
    <comnetarios xmlns="71938c79-e635-416e-962b-e79243d7923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161132061C5A4B89F48C369B282D82" ma:contentTypeVersion="19" ma:contentTypeDescription="Create a new document." ma:contentTypeScope="" ma:versionID="c6f096d9e4fe85fde480786d36d6a649">
  <xsd:schema xmlns:xsd="http://www.w3.org/2001/XMLSchema" xmlns:xs="http://www.w3.org/2001/XMLSchema" xmlns:p="http://schemas.microsoft.com/office/2006/metadata/properties" xmlns:ns2="71938c79-e635-416e-962b-e79243d7923e" xmlns:ns3="87e42f4f-c32b-4996-b919-65aff2aac959" targetNamespace="http://schemas.microsoft.com/office/2006/metadata/properties" ma:root="true" ma:fieldsID="f5258da74a530ce0890588f8e15dd7f0" ns2:_="" ns3:_="">
    <xsd:import namespace="71938c79-e635-416e-962b-e79243d7923e"/>
    <xsd:import namespace="87e42f4f-c32b-4996-b919-65aff2aac9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omnetario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938c79-e635-416e-962b-e79243d792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omnetarios" ma:index="10" nillable="true" ma:displayName="comnetarios" ma:format="Dropdown" ma:internalName="comnetarios">
      <xsd:simpleType>
        <xsd:restriction base="dms:Text">
          <xsd:maxLength value="255"/>
        </xsd:restriction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0b2cb8a6-f4e8-42d8-bdf3-abc1205f4e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e42f4f-c32b-4996-b919-65aff2aac95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e289ea04-81ce-4bb3-ad04-0b5b543b812c}" ma:internalName="TaxCatchAll" ma:showField="CatchAllData" ma:web="87e42f4f-c32b-4996-b919-65aff2aac9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2B4655C-8857-44A8-89FF-6FFE2C1EFC03}"/>
</file>

<file path=customXml/itemProps2.xml><?xml version="1.0" encoding="utf-8"?>
<ds:datastoreItem xmlns:ds="http://schemas.openxmlformats.org/officeDocument/2006/customXml" ds:itemID="{CAD46947-547D-4EFD-A867-859B82E64846}"/>
</file>

<file path=customXml/itemProps3.xml><?xml version="1.0" encoding="utf-8"?>
<ds:datastoreItem xmlns:ds="http://schemas.openxmlformats.org/officeDocument/2006/customXml" ds:itemID="{A545BBC0-62F3-4DE8-B194-684936FC4F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Katherine Gutierrez Alvarez</dc:creator>
  <cp:keywords/>
  <dc:description/>
  <cp:lastModifiedBy/>
  <cp:revision/>
  <dcterms:created xsi:type="dcterms:W3CDTF">2020-03-03T21:52:27Z</dcterms:created>
  <dcterms:modified xsi:type="dcterms:W3CDTF">2026-06-19T02:14:42Z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0x010100A2161132061C5A4B89F48C369B282D82</vt:lpwstr>
  </property>
  <property fmtid="{D5CDD505-2E9C-101B-9397-08002B2CF9AE}" pid="3" name="MediaServiceImageTags">
    <vt:lpwstr/>
  </property>
</Properties>
</file>